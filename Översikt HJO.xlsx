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46216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s="2" t="inlineStr">
        <is>
          <t>Ask
Gullpudra
Korallticka
Strutbräken
Trädporella
Gröngöling</t>
        </is>
      </c>
      <c r="V2">
        <f>HYPERLINK("https://klasma.github.io/Logging_1497/artfynd/S 1120-2023 artfynd.xlsx", "S 1120-2023")</f>
        <v/>
      </c>
      <c r="W2">
        <f>HYPERLINK("https://klasma.github.io/Logging_1497/kartor/S 1120-2023 karta.png", "S 1120-2023")</f>
        <v/>
      </c>
      <c r="Y2">
        <f>HYPERLINK("https://klasma.github.io/Logging_1497/klagomål/S 1120-2023 FSC-klagomål.docx", "S 1120-2023")</f>
        <v/>
      </c>
      <c r="Z2">
        <f>HYPERLINK("https://klasma.github.io/Logging_1497/klagomålsmail/S 1120-2023 FSC-klagomål mail.docx", "S 1120-2023")</f>
        <v/>
      </c>
      <c r="AA2">
        <f>HYPERLINK("https://klasma.github.io/Logging_1497/tillsyn/S 1120-2023 tillsynsbegäran.docx", "S 1120-2023")</f>
        <v/>
      </c>
      <c r="AB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46216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Dunmossa
Blåmossa</t>
        </is>
      </c>
      <c r="V3">
        <f>HYPERLINK("https://klasma.github.io/Logging_1497/artfynd/A 48359-2025 artfynd.xlsx", "A 48359-2025")</f>
        <v/>
      </c>
      <c r="W3">
        <f>HYPERLINK("https://klasma.github.io/Logging_1497/kartor/A 48359-2025 karta.png", "A 48359-2025")</f>
        <v/>
      </c>
      <c r="Y3">
        <f>HYPERLINK("https://klasma.github.io/Logging_1497/klagomål/A 48359-2025 FSC-klagomål.docx", "A 48359-2025")</f>
        <v/>
      </c>
      <c r="Z3">
        <f>HYPERLINK("https://klasma.github.io/Logging_1497/klagomålsmail/A 48359-2025 FSC-klagomål mail.docx", "A 48359-2025")</f>
        <v/>
      </c>
      <c r="AA3">
        <f>HYPERLINK("https://klasma.github.io/Logging_1497/tillsyn/A 48359-2025 tillsynsbegäran.docx", "A 48359-2025")</f>
        <v/>
      </c>
      <c r="AB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46216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Ask</t>
        </is>
      </c>
      <c r="V4">
        <f>HYPERLINK("https://klasma.github.io/Logging_1497/artfynd/A 4966-2022 artfynd.xlsx", "A 4966-2022")</f>
        <v/>
      </c>
      <c r="W4">
        <f>HYPERLINK("https://klasma.github.io/Logging_1497/kartor/A 4966-2022 karta.png", "A 4966-2022")</f>
        <v/>
      </c>
      <c r="Y4">
        <f>HYPERLINK("https://klasma.github.io/Logging_1497/klagomål/A 4966-2022 FSC-klagomål.docx", "A 4966-2022")</f>
        <v/>
      </c>
      <c r="Z4">
        <f>HYPERLINK("https://klasma.github.io/Logging_1497/klagomålsmail/A 4966-2022 FSC-klagomål mail.docx", "A 4966-2022")</f>
        <v/>
      </c>
      <c r="AA4">
        <f>HYPERLINK("https://klasma.github.io/Logging_1497/tillsyn/A 4966-2022 tillsynsbegäran.docx", "A 4966-2022")</f>
        <v/>
      </c>
      <c r="AB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46216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HYPERLINK("https://klasma.github.io/Logging_1497/artfynd/A 26270-2024 artfynd.xlsx", "A 26270-2024")</f>
        <v/>
      </c>
      <c r="W5">
        <f>HYPERLINK("https://klasma.github.io/Logging_1497/kartor/A 26270-2024 karta.png", "A 26270-2024")</f>
        <v/>
      </c>
      <c r="Y5">
        <f>HYPERLINK("https://klasma.github.io/Logging_1497/klagomål/A 26270-2024 FSC-klagomål.docx", "A 26270-2024")</f>
        <v/>
      </c>
      <c r="Z5">
        <f>HYPERLINK("https://klasma.github.io/Logging_1497/klagomålsmail/A 26270-2024 FSC-klagomål mail.docx", "A 26270-2024")</f>
        <v/>
      </c>
      <c r="AA5">
        <f>HYPERLINK("https://klasma.github.io/Logging_1497/tillsyn/A 26270-2024 tillsynsbegäran.docx", "A 26270-2024")</f>
        <v/>
      </c>
      <c r="AB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46216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s="2" t="inlineStr">
        <is>
          <t>Knärot</t>
        </is>
      </c>
      <c r="V6">
        <f>HYPERLINK("https://klasma.github.io/Logging_1497/artfynd/A 10014-2025 artfynd.xlsx", "A 10014-2025")</f>
        <v/>
      </c>
      <c r="W6">
        <f>HYPERLINK("https://klasma.github.io/Logging_1497/kartor/A 10014-2025 karta.png", "A 10014-2025")</f>
        <v/>
      </c>
      <c r="X6">
        <f>HYPERLINK("https://klasma.github.io/Logging_1497/knärot/A 10014-2025 karta knärot.png", "A 10014-2025")</f>
        <v/>
      </c>
      <c r="Y6">
        <f>HYPERLINK("https://klasma.github.io/Logging_1497/klagomål/A 10014-2025 FSC-klagomål.docx", "A 10014-2025")</f>
        <v/>
      </c>
      <c r="Z6">
        <f>HYPERLINK("https://klasma.github.io/Logging_1497/klagomålsmail/A 10014-2025 FSC-klagomål mail.docx", "A 10014-2025")</f>
        <v/>
      </c>
      <c r="AA6">
        <f>HYPERLINK("https://klasma.github.io/Logging_1497/tillsyn/A 10014-2025 tillsynsbegäran.docx", "A 10014-2025")</f>
        <v/>
      </c>
      <c r="AB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46216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Blåsippa</t>
        </is>
      </c>
      <c r="V7">
        <f>HYPERLINK("https://klasma.github.io/Logging_1497/artfynd/S 4605-2024 artfynd.xlsx", "S 4605-2024")</f>
        <v/>
      </c>
      <c r="W7">
        <f>HYPERLINK("https://klasma.github.io/Logging_1497/kartor/S 4605-2024 karta.png", "S 4605-2024")</f>
        <v/>
      </c>
      <c r="Y7">
        <f>HYPERLINK("https://klasma.github.io/Logging_1497/klagomål/S 4605-2024 FSC-klagomål.docx", "S 4605-2024")</f>
        <v/>
      </c>
      <c r="Z7">
        <f>HYPERLINK("https://klasma.github.io/Logging_1497/klagomålsmail/S 4605-2024 FSC-klagomål mail.docx", "S 4605-2024")</f>
        <v/>
      </c>
      <c r="AA7">
        <f>HYPERLINK("https://klasma.github.io/Logging_1497/tillsyn/S 4605-2024 tillsynsbegäran.docx", "S 4605-2024")</f>
        <v/>
      </c>
      <c r="AB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46216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46216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46216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46216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46216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46216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46216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46216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46216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46216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46216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46216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46216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46216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46216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7786-2022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44608</v>
      </c>
      <c r="E23" s="1" t="n">
        <v>46216</v>
      </c>
      <c r="F23" t="inlineStr">
        <is>
          <t>VÄSTRA GÖTALANDS LÄN</t>
        </is>
      </c>
      <c r="G23" t="inlineStr">
        <is>
          <t>HJO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63257-2021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46216</v>
      </c>
      <c r="F24" t="inlineStr">
        <is>
          <t>VÄSTRA GÖTALANDS LÄN</t>
        </is>
      </c>
      <c r="G24" t="inlineStr">
        <is>
          <t>HJO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46216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46216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46216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46216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46216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46216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46216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46216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46216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46216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46216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46216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46216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46216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46216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46216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46216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46216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46216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46216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44310-2024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46216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46216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46216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46216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46216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46216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46216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46216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46216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46216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46216</v>
      </c>
      <c r="F55" t="inlineStr">
        <is>
          <t>VÄSTRA GÖTALANDS LÄN</t>
        </is>
      </c>
      <c r="G55" t="inlineStr">
        <is>
          <t>HJO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46216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46216</v>
      </c>
      <c r="F57" t="inlineStr">
        <is>
          <t>VÄSTRA GÖTALANDS LÄN</t>
        </is>
      </c>
      <c r="G57" t="inlineStr">
        <is>
          <t>HJO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46216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46216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53846-2024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46216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46216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59452-2023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45254</v>
      </c>
      <c r="E62" s="1" t="n">
        <v>46216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12554-2023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45000</v>
      </c>
      <c r="E63" s="1" t="n">
        <v>46216</v>
      </c>
      <c r="F63" t="inlineStr">
        <is>
          <t>VÄSTRA GÖTALANDS LÄN</t>
        </is>
      </c>
      <c r="G63" t="inlineStr">
        <is>
          <t>HJO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59988-2024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45642</v>
      </c>
      <c r="E64" s="1" t="n">
        <v>46216</v>
      </c>
      <c r="F64" t="inlineStr">
        <is>
          <t>VÄSTRA GÖTALANDS LÄN</t>
        </is>
      </c>
      <c r="G64" t="inlineStr">
        <is>
          <t>HJO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10670-2024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46216</v>
      </c>
      <c r="F65" t="inlineStr">
        <is>
          <t>VÄSTRA GÖTALANDS LÄN</t>
        </is>
      </c>
      <c r="G65" t="inlineStr">
        <is>
          <t>HJO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46216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63239-2021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46216</v>
      </c>
      <c r="F67" t="inlineStr">
        <is>
          <t>VÄSTRA GÖTALANDS LÄN</t>
        </is>
      </c>
      <c r="G67" t="inlineStr">
        <is>
          <t>HJO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46216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35316-2025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45854</v>
      </c>
      <c r="E69" s="1" t="n">
        <v>46216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14196-2023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46216</v>
      </c>
      <c r="F70" t="inlineStr">
        <is>
          <t>VÄSTRA GÖTALANDS LÄN</t>
        </is>
      </c>
      <c r="G70" t="inlineStr">
        <is>
          <t>HJO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35319-2025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45854</v>
      </c>
      <c r="E71" s="1" t="n">
        <v>46216</v>
      </c>
      <c r="F71" t="inlineStr">
        <is>
          <t>VÄSTRA GÖTALANDS LÄN</t>
        </is>
      </c>
      <c r="G71" t="inlineStr">
        <is>
          <t>HJO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46216</v>
      </c>
      <c r="F72" t="inlineStr">
        <is>
          <t>VÄSTRA GÖTALANDS LÄN</t>
        </is>
      </c>
      <c r="G72" t="inlineStr">
        <is>
          <t>HJO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45010</v>
      </c>
      <c r="E73" s="1" t="n">
        <v>46216</v>
      </c>
      <c r="F73" t="inlineStr">
        <is>
          <t>VÄSTRA GÖTALANDS LÄN</t>
        </is>
      </c>
      <c r="G73" t="inlineStr">
        <is>
          <t>HJO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46216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55003-2024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45621</v>
      </c>
      <c r="E75" s="1" t="n">
        <v>46216</v>
      </c>
      <c r="F75" t="inlineStr">
        <is>
          <t>VÄSTRA GÖTALANDS LÄN</t>
        </is>
      </c>
      <c r="G75" t="inlineStr">
        <is>
          <t>HJO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46216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46216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49564-2024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46216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46216</v>
      </c>
      <c r="F79" t="inlineStr">
        <is>
          <t>VÄSTRA GÖTALANDS LÄN</t>
        </is>
      </c>
      <c r="G79" t="inlineStr">
        <is>
          <t>HJO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46216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53689-2025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46216</v>
      </c>
      <c r="F81" t="inlineStr">
        <is>
          <t>VÄSTRA GÖTALANDS LÄN</t>
        </is>
      </c>
      <c r="G81" t="inlineStr">
        <is>
          <t>HJO</t>
        </is>
      </c>
      <c r="I81" t="n">
        <v>10.9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13703-2024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46216</v>
      </c>
      <c r="F82" t="inlineStr">
        <is>
          <t>VÄSTRA GÖTALANDS LÄN</t>
        </is>
      </c>
      <c r="G82" t="inlineStr">
        <is>
          <t>HJO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44560</v>
      </c>
      <c r="E83" s="1" t="n">
        <v>46216</v>
      </c>
      <c r="F83" t="inlineStr">
        <is>
          <t>VÄSTRA GÖTALANDS LÄN</t>
        </is>
      </c>
      <c r="G83" t="inlineStr">
        <is>
          <t>HJO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46056</v>
      </c>
      <c r="E84" s="1" t="n">
        <v>46216</v>
      </c>
      <c r="F84" t="inlineStr">
        <is>
          <t>VÄSTRA GÖTALANDS LÄN</t>
        </is>
      </c>
      <c r="G84" t="inlineStr">
        <is>
          <t>HJO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46216</v>
      </c>
      <c r="F85" t="inlineStr">
        <is>
          <t>VÄSTRA GÖTALANDS LÄN</t>
        </is>
      </c>
      <c r="G85" t="inlineStr">
        <is>
          <t>HJO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6705-2026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46056</v>
      </c>
      <c r="E86" s="1" t="n">
        <v>46216</v>
      </c>
      <c r="F86" t="inlineStr">
        <is>
          <t>VÄSTRA GÖTALANDS LÄN</t>
        </is>
      </c>
      <c r="G86" t="inlineStr">
        <is>
          <t>HJO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46216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58597-2022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46216</v>
      </c>
      <c r="F88" t="inlineStr">
        <is>
          <t>VÄSTRA GÖTALANDS LÄN</t>
        </is>
      </c>
      <c r="G88" t="inlineStr">
        <is>
          <t>HJO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46216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12165-2026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46216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46216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46216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30636-2023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46216</v>
      </c>
      <c r="F93" t="inlineStr">
        <is>
          <t>VÄSTRA GÖTALANDS LÄN</t>
        </is>
      </c>
      <c r="G93" t="inlineStr">
        <is>
          <t>HJO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46216</v>
      </c>
      <c r="F94" t="inlineStr">
        <is>
          <t>VÄSTRA GÖTALANDS LÄN</t>
        </is>
      </c>
      <c r="G94" t="inlineStr">
        <is>
          <t>HJO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46216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15019-2026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46104</v>
      </c>
      <c r="E96" s="1" t="n">
        <v>46216</v>
      </c>
      <c r="F96" t="inlineStr">
        <is>
          <t>VÄSTRA GÖTALANDS LÄN</t>
        </is>
      </c>
      <c r="G96" t="inlineStr">
        <is>
          <t>HJO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8814-2022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46216</v>
      </c>
      <c r="F97" t="inlineStr">
        <is>
          <t>VÄSTRA GÖTALANDS LÄN</t>
        </is>
      </c>
      <c r="G97" t="inlineStr">
        <is>
          <t>HJO</t>
        </is>
      </c>
      <c r="H97" t="inlineStr">
        <is>
          <t>Kyrkan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9338-2023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44980</v>
      </c>
      <c r="E98" s="1" t="n">
        <v>46216</v>
      </c>
      <c r="F98" t="inlineStr">
        <is>
          <t>VÄSTRA GÖTALANDS LÄN</t>
        </is>
      </c>
      <c r="G98" t="inlineStr">
        <is>
          <t>HJO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40629-2024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45557</v>
      </c>
      <c r="E99" s="1" t="n">
        <v>46216</v>
      </c>
      <c r="F99" t="inlineStr">
        <is>
          <t>VÄSTRA GÖTALANDS LÄN</t>
        </is>
      </c>
      <c r="G99" t="inlineStr">
        <is>
          <t>HJO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53839-2024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46216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46216</v>
      </c>
      <c r="F101" t="inlineStr">
        <is>
          <t>VÄSTRA GÖTALANDS LÄN</t>
        </is>
      </c>
      <c r="G101" t="inlineStr">
        <is>
          <t>HJO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54902-2023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46216</v>
      </c>
      <c r="F102" t="inlineStr">
        <is>
          <t>VÄSTRA GÖTALANDS LÄN</t>
        </is>
      </c>
      <c r="G102" t="inlineStr">
        <is>
          <t>HJO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43370-2025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46216</v>
      </c>
      <c r="F103" t="inlineStr">
        <is>
          <t>VÄSTRA GÖTALANDS LÄN</t>
        </is>
      </c>
      <c r="G103" t="inlineStr">
        <is>
          <t>HJO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25991-2026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46216</v>
      </c>
      <c r="F104" t="inlineStr">
        <is>
          <t>VÄSTRA GÖTALANDS LÄN</t>
        </is>
      </c>
      <c r="G104" t="inlineStr">
        <is>
          <t>HJO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46216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45349</v>
      </c>
      <c r="E106" s="1" t="n">
        <v>46216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30970-2023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46216</v>
      </c>
      <c r="F107" t="inlineStr">
        <is>
          <t>VÄSTRA GÖTALANDS LÄN</t>
        </is>
      </c>
      <c r="G107" t="inlineStr">
        <is>
          <t>HJO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46216</v>
      </c>
      <c r="F108" t="inlineStr">
        <is>
          <t>VÄSTRA GÖTALANDS LÄN</t>
        </is>
      </c>
      <c r="G108" t="inlineStr">
        <is>
          <t>HJO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25053-2025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46216</v>
      </c>
      <c r="F109" t="inlineStr">
        <is>
          <t>VÄSTRA GÖTALANDS LÄN</t>
        </is>
      </c>
      <c r="G109" t="inlineStr">
        <is>
          <t>HJO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46216</v>
      </c>
      <c r="F110" t="inlineStr">
        <is>
          <t>VÄSTRA GÖTALANDS LÄN</t>
        </is>
      </c>
      <c r="G110" t="inlineStr">
        <is>
          <t>HJO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46216</v>
      </c>
      <c r="F111" t="inlineStr">
        <is>
          <t>VÄSTRA GÖTALANDS LÄN</t>
        </is>
      </c>
      <c r="G111" t="inlineStr">
        <is>
          <t>HJO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59986-2023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46216</v>
      </c>
      <c r="F112" t="inlineStr">
        <is>
          <t>VÄSTRA GÖTALANDS LÄN</t>
        </is>
      </c>
      <c r="G112" t="inlineStr">
        <is>
          <t>HJO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26248-2024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45468</v>
      </c>
      <c r="E113" s="1" t="n">
        <v>46216</v>
      </c>
      <c r="F113" t="inlineStr">
        <is>
          <t>VÄSTRA GÖTALANDS LÄN</t>
        </is>
      </c>
      <c r="G113" t="inlineStr">
        <is>
          <t>HJO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47300-2022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46216</v>
      </c>
      <c r="F114" t="inlineStr">
        <is>
          <t>VÄSTRA GÖTALANDS LÄN</t>
        </is>
      </c>
      <c r="G114" t="inlineStr">
        <is>
          <t>HJO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46216</v>
      </c>
      <c r="F115" t="inlineStr">
        <is>
          <t>VÄSTRA GÖTALANDS LÄN</t>
        </is>
      </c>
      <c r="G115" t="inlineStr">
        <is>
          <t>HJO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46216</v>
      </c>
      <c r="F116" t="inlineStr">
        <is>
          <t>VÄSTRA GÖTALANDS LÄN</t>
        </is>
      </c>
      <c r="G116" t="inlineStr">
        <is>
          <t>HJO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46216</v>
      </c>
      <c r="F117" t="inlineStr">
        <is>
          <t>VÄSTRA GÖTALANDS LÄN</t>
        </is>
      </c>
      <c r="G117" t="inlineStr">
        <is>
          <t>HJO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44745</v>
      </c>
      <c r="E118" s="1" t="n">
        <v>46216</v>
      </c>
      <c r="F118" t="inlineStr">
        <is>
          <t>VÄSTRA GÖTALANDS LÄN</t>
        </is>
      </c>
      <c r="G118" t="inlineStr">
        <is>
          <t>HJO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46216</v>
      </c>
      <c r="F119" t="inlineStr">
        <is>
          <t>VÄSTRA GÖTALANDS LÄN</t>
        </is>
      </c>
      <c r="G119" t="inlineStr">
        <is>
          <t>HJO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26230-2023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45091</v>
      </c>
      <c r="E120" s="1" t="n">
        <v>46216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9.4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46216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46216</v>
      </c>
      <c r="F122" t="inlineStr">
        <is>
          <t>VÄSTRA GÖTALANDS LÄN</t>
        </is>
      </c>
      <c r="G122" t="inlineStr">
        <is>
          <t>HJO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9177-2022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46216</v>
      </c>
      <c r="F123" t="inlineStr">
        <is>
          <t>VÄSTRA GÖTALANDS LÄN</t>
        </is>
      </c>
      <c r="G123" t="inlineStr">
        <is>
          <t>HJO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20024-2022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44697</v>
      </c>
      <c r="E124" s="1" t="n">
        <v>46216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38186-2023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46216</v>
      </c>
      <c r="F125" t="inlineStr">
        <is>
          <t>VÄSTRA GÖTALANDS LÄN</t>
        </is>
      </c>
      <c r="G125" t="inlineStr">
        <is>
          <t>HJO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50711-2024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46216</v>
      </c>
      <c r="F126" t="inlineStr">
        <is>
          <t>VÄSTRA GÖTALANDS LÄN</t>
        </is>
      </c>
      <c r="G126" t="inlineStr">
        <is>
          <t>HJO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38052-2025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46216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70743-2021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46216</v>
      </c>
      <c r="F128" t="inlineStr">
        <is>
          <t>VÄSTRA GÖTALANDS LÄN</t>
        </is>
      </c>
      <c r="G128" t="inlineStr">
        <is>
          <t>HJO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39542-2023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46216</v>
      </c>
      <c r="F129" t="inlineStr">
        <is>
          <t>VÄSTRA GÖTALANDS LÄN</t>
        </is>
      </c>
      <c r="G129" t="inlineStr">
        <is>
          <t>HJO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45028</v>
      </c>
      <c r="E130" s="1" t="n">
        <v>46216</v>
      </c>
      <c r="F130" t="inlineStr">
        <is>
          <t>VÄSTRA GÖTALANDS LÄN</t>
        </is>
      </c>
      <c r="G130" t="inlineStr">
        <is>
          <t>HJO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39538-2023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45167</v>
      </c>
      <c r="E131" s="1" t="n">
        <v>46216</v>
      </c>
      <c r="F131" t="inlineStr">
        <is>
          <t>VÄSTRA GÖTALANDS LÄN</t>
        </is>
      </c>
      <c r="G131" t="inlineStr">
        <is>
          <t>HJO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61925-2023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46216</v>
      </c>
      <c r="F132" t="inlineStr">
        <is>
          <t>VÄSTRA GÖTALANDS LÄN</t>
        </is>
      </c>
      <c r="G132" t="inlineStr">
        <is>
          <t>HJO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46216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45209</v>
      </c>
      <c r="E134" s="1" t="n">
        <v>46216</v>
      </c>
      <c r="F134" t="inlineStr">
        <is>
          <t>VÄSTRA GÖTALANDS LÄN</t>
        </is>
      </c>
      <c r="G134" t="inlineStr">
        <is>
          <t>HJO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29891-2026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46216</v>
      </c>
      <c r="F135" t="inlineStr">
        <is>
          <t>VÄSTRA GÖTALANDS LÄN</t>
        </is>
      </c>
      <c r="G135" t="inlineStr">
        <is>
          <t>HJO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29905-2026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46216</v>
      </c>
      <c r="F136" t="inlineStr">
        <is>
          <t>VÄSTRA GÖTALANDS LÄN</t>
        </is>
      </c>
      <c r="G136" t="inlineStr">
        <is>
          <t>HJO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23193-2026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46161</v>
      </c>
      <c r="E137" s="1" t="n">
        <v>46216</v>
      </c>
      <c r="F137" t="inlineStr">
        <is>
          <t>VÄSTRA GÖTALANDS LÄN</t>
        </is>
      </c>
      <c r="G137" t="inlineStr">
        <is>
          <t>HJO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13694-2024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46216</v>
      </c>
      <c r="F138" t="inlineStr">
        <is>
          <t>VÄSTRA GÖTALANDS LÄN</t>
        </is>
      </c>
      <c r="G138" t="inlineStr">
        <is>
          <t>HJO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46520-2023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45197</v>
      </c>
      <c r="E139" s="1" t="n">
        <v>46216</v>
      </c>
      <c r="F139" t="inlineStr">
        <is>
          <t>VÄSTRA GÖTALANDS LÄN</t>
        </is>
      </c>
      <c r="G139" t="inlineStr">
        <is>
          <t>HJO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29596-2024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45484</v>
      </c>
      <c r="E140" s="1" t="n">
        <v>46216</v>
      </c>
      <c r="F140" t="inlineStr">
        <is>
          <t>VÄSTRA GÖTALANDS LÄN</t>
        </is>
      </c>
      <c r="G140" t="inlineStr">
        <is>
          <t>HJO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46216</v>
      </c>
      <c r="F141" t="inlineStr">
        <is>
          <t>VÄSTRA GÖTALANDS LÄN</t>
        </is>
      </c>
      <c r="G141" t="inlineStr">
        <is>
          <t>HJO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50932-2025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46216</v>
      </c>
      <c r="F142" t="inlineStr">
        <is>
          <t>VÄSTRA GÖTALANDS LÄN</t>
        </is>
      </c>
      <c r="G142" t="inlineStr">
        <is>
          <t>HJO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36407-2025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45868</v>
      </c>
      <c r="E143" s="1" t="n">
        <v>46216</v>
      </c>
      <c r="F143" t="inlineStr">
        <is>
          <t>VÄSTRA GÖTALANDS LÄN</t>
        </is>
      </c>
      <c r="G143" t="inlineStr">
        <is>
          <t>HJO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37789-2022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44810</v>
      </c>
      <c r="E144" s="1" t="n">
        <v>46216</v>
      </c>
      <c r="F144" t="inlineStr">
        <is>
          <t>VÄSTRA GÖTALANDS LÄN</t>
        </is>
      </c>
      <c r="G144" t="inlineStr">
        <is>
          <t>HJO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46216</v>
      </c>
      <c r="F145" t="inlineStr">
        <is>
          <t>VÄSTRA GÖTALANDS LÄN</t>
        </is>
      </c>
      <c r="G145" t="inlineStr">
        <is>
          <t>HJO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46216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46216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36738-2024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46216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8145-2024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46216</v>
      </c>
      <c r="F149" t="inlineStr">
        <is>
          <t>VÄSTRA GÖTALANDS LÄN</t>
        </is>
      </c>
      <c r="G149" t="inlineStr">
        <is>
          <t>HJO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46216</v>
      </c>
      <c r="F150" t="inlineStr">
        <is>
          <t>VÄSTRA GÖTALANDS LÄN</t>
        </is>
      </c>
      <c r="G150" t="inlineStr">
        <is>
          <t>HJO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60414-2024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46216</v>
      </c>
      <c r="F151" t="inlineStr">
        <is>
          <t>VÄSTRA GÖTALANDS LÄN</t>
        </is>
      </c>
      <c r="G151" t="inlineStr">
        <is>
          <t>HJO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S 967-2022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44607</v>
      </c>
      <c r="E152" s="1" t="n">
        <v>46216</v>
      </c>
      <c r="F152" t="inlineStr">
        <is>
          <t>VÄSTRA GÖTALANDS LÄN</t>
        </is>
      </c>
      <c r="G152" t="inlineStr">
        <is>
          <t>HJO</t>
        </is>
      </c>
      <c r="H152" t="inlineStr">
        <is>
          <t>Sveaskog</t>
        </is>
      </c>
      <c r="I152" t="n">
        <v>151.6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>
      <c r="A153" t="inlineStr">
        <is>
          <t>S 3584-2022</t>
        </is>
      </c>
      <c r="B153" t="inlineStr">
        <is>
          <t>samrådsanmälan</t>
        </is>
      </c>
      <c r="C153" t="inlineStr">
        <is>
          <t>Askåterföring</t>
        </is>
      </c>
      <c r="D153" s="1" t="n">
        <v>44735</v>
      </c>
      <c r="E153" s="1" t="n">
        <v>46216</v>
      </c>
      <c r="F153" t="inlineStr">
        <is>
          <t>VÄSTRA GÖTALANDS LÄN</t>
        </is>
      </c>
      <c r="G153" t="inlineStr">
        <is>
          <t>HJO</t>
        </is>
      </c>
      <c r="I153" t="n">
        <v>28.7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2026-07-13T14:52:49Z</dcterms:created>
  <dcterms:modified xmlns:dcterms="http://purl.org/dc/terms/" xmlns:xsi="http://www.w3.org/2001/XMLSchema-instance" xsi:type="dcterms:W3CDTF">2026-07-13T14:52:49Z</dcterms:modified>
</cp:coreProperties>
</file>