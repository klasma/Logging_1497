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46254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46254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46254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33003-2026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46244</v>
      </c>
      <c r="E5" s="1" t="n">
        <v>46254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Brun nållav</t>
        </is>
      </c>
      <c r="W5">
        <f>HYPERLINK("https://klasma.github.io/Logging_1497/artfynd/A 33003-2026 artfynd.xlsx", "A 33003-2026")</f>
        <v/>
      </c>
      <c r="X5">
        <f>HYPERLINK("https://klasma.github.io/Logging_1497/kartor/A 33003-2026 karta.png", "A 33003-2026")</f>
        <v/>
      </c>
      <c r="Y5">
        <f>HYPERLINK("https://klasma.github.io/Logging_1497/kartor_geotiff/A 33003-2026 georefererad karta.tif", "A 33003-2026")</f>
        <v/>
      </c>
      <c r="AA5">
        <f>HYPERLINK("https://klasma.github.io/Logging_1497/klagomål/A 33003-2026 FSC-klagomål.docx", "A 33003-2026")</f>
        <v/>
      </c>
      <c r="AB5">
        <f>HYPERLINK("https://klasma.github.io/Logging_1497/klagomålsmail/A 33003-2026 FSC-klagomål mail.docx", "A 33003-2026")</f>
        <v/>
      </c>
      <c r="AC5">
        <f>HYPERLINK("https://klasma.github.io/Logging_1497/tillsyn/A 33003-2026 tillsynsbegäran.docx", "A 33003-2026")</f>
        <v/>
      </c>
      <c r="AD5">
        <f>HYPERLINK("https://klasma.github.io/Logging_1497/tillsynsmail/A 33003-2026 tillsynsbegäran mail.docx", "A 33003-2026")</f>
        <v/>
      </c>
    </row>
    <row r="6" ht="15" customHeight="1">
      <c r="A6" t="inlineStr">
        <is>
          <t>A 32951-2026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46254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3.4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Brun nållav</t>
        </is>
      </c>
      <c r="W6">
        <f>HYPERLINK("https://klasma.github.io/Logging_1497/artfynd/A 32951-2026 artfynd.xlsx", "A 32951-2026")</f>
        <v/>
      </c>
      <c r="X6">
        <f>HYPERLINK("https://klasma.github.io/Logging_1497/kartor/A 32951-2026 karta.png", "A 32951-2026")</f>
        <v/>
      </c>
      <c r="Y6">
        <f>HYPERLINK("https://klasma.github.io/Logging_1497/kartor_geotiff/A 32951-2026 georefererad karta.tif", "A 32951-2026")</f>
        <v/>
      </c>
      <c r="AA6">
        <f>HYPERLINK("https://klasma.github.io/Logging_1497/klagomål/A 32951-2026 FSC-klagomål.docx", "A 32951-2026")</f>
        <v/>
      </c>
      <c r="AB6">
        <f>HYPERLINK("https://klasma.github.io/Logging_1497/klagomålsmail/A 32951-2026 FSC-klagomål mail.docx", "A 32951-2026")</f>
        <v/>
      </c>
      <c r="AC6">
        <f>HYPERLINK("https://klasma.github.io/Logging_1497/tillsyn/A 32951-2026 tillsynsbegäran.docx", "A 32951-2026")</f>
        <v/>
      </c>
      <c r="AD6">
        <f>HYPERLINK("https://klasma.github.io/Logging_1497/tillsynsmail/A 32951-2026 tillsynsbegäran mail.docx", "A 32951-2026")</f>
        <v/>
      </c>
    </row>
    <row r="7" ht="15" customHeight="1">
      <c r="A7" t="inlineStr">
        <is>
          <t>A 34275-2026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46253</v>
      </c>
      <c r="E7" s="1" t="n">
        <v>46254</v>
      </c>
      <c r="F7" t="inlineStr">
        <is>
          <t>VÄSTRA GÖTALANDS LÄN</t>
        </is>
      </c>
      <c r="G7" t="inlineStr">
        <is>
          <t>HJO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Blåmossa</t>
        </is>
      </c>
      <c r="W7">
        <f>HYPERLINK("https://klasma.github.io/Logging_1497/artfynd/A 34275-2026 artfynd.xlsx", "A 34275-2026")</f>
        <v/>
      </c>
      <c r="X7">
        <f>HYPERLINK("https://klasma.github.io/Logging_1497/kartor/A 34275-2026 karta.png", "A 34275-2026")</f>
        <v/>
      </c>
      <c r="Y7">
        <f>HYPERLINK("https://klasma.github.io/Logging_1497/kartor_geotiff/A 34275-2026 georefererad karta.tif", "A 34275-2026")</f>
        <v/>
      </c>
      <c r="AA7">
        <f>HYPERLINK("https://klasma.github.io/Logging_1497/klagomål/A 34275-2026 FSC-klagomål.docx", "A 34275-2026")</f>
        <v/>
      </c>
      <c r="AB7">
        <f>HYPERLINK("https://klasma.github.io/Logging_1497/klagomålsmail/A 34275-2026 FSC-klagomål mail.docx", "A 34275-2026")</f>
        <v/>
      </c>
      <c r="AC7">
        <f>HYPERLINK("https://klasma.github.io/Logging_1497/tillsyn/A 34275-2026 tillsynsbegäran.docx", "A 34275-2026")</f>
        <v/>
      </c>
      <c r="AD7">
        <f>HYPERLINK("https://klasma.github.io/Logging_1497/tillsynsmail/A 34275-2026 tillsynsbegäran mail.docx", "A 34275-2026")</f>
        <v/>
      </c>
    </row>
    <row r="8" ht="15" customHeight="1">
      <c r="A8" t="inlineStr">
        <is>
          <t>A 34277-2026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46254</v>
      </c>
      <c r="F8" t="inlineStr">
        <is>
          <t>VÄSTRA GÖTALANDS LÄN</t>
        </is>
      </c>
      <c r="G8" t="inlineStr">
        <is>
          <t>HJO</t>
        </is>
      </c>
      <c r="I8" t="n">
        <v>0.8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34277-2026 artfynd.xlsx", "A 34277-2026")</f>
        <v/>
      </c>
      <c r="X8">
        <f>HYPERLINK("https://klasma.github.io/Logging_1497/kartor/A 34277-2026 karta.png", "A 34277-2026")</f>
        <v/>
      </c>
      <c r="Y8">
        <f>HYPERLINK("https://klasma.github.io/Logging_1497/kartor_geotiff/A 34277-2026 georefererad karta.tif", "A 34277-2026")</f>
        <v/>
      </c>
      <c r="AA8">
        <f>HYPERLINK("https://klasma.github.io/Logging_1497/klagomål/A 34277-2026 FSC-klagomål.docx", "A 34277-2026")</f>
        <v/>
      </c>
      <c r="AB8">
        <f>HYPERLINK("https://klasma.github.io/Logging_1497/klagomålsmail/A 34277-2026 FSC-klagomål mail.docx", "A 34277-2026")</f>
        <v/>
      </c>
      <c r="AC8">
        <f>HYPERLINK("https://klasma.github.io/Logging_1497/tillsyn/A 34277-2026 tillsynsbegäran.docx", "A 34277-2026")</f>
        <v/>
      </c>
      <c r="AD8">
        <f>HYPERLINK("https://klasma.github.io/Logging_1497/tillsynsmail/A 34277-2026 tillsynsbegäran mail.docx", "A 34277-2026")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46254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10014-2025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46254</v>
      </c>
      <c r="F10" t="inlineStr">
        <is>
          <t>VÄSTRA GÖTALANDS LÄN</t>
        </is>
      </c>
      <c r="G10" t="inlineStr">
        <is>
          <t>HJO</t>
        </is>
      </c>
      <c r="I10" t="n">
        <v>5.9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4</v>
      </c>
      <c r="U10" t="n">
        <v>4</v>
      </c>
      <c r="V10" s="2" t="inlineStr">
        <is>
          <t>Knärot</t>
        </is>
      </c>
      <c r="W10">
        <f>HYPERLINK("https://klasma.github.io/Logging_1497/artfynd/A 10014-2025 artfynd.xlsx", "A 10014-2025")</f>
        <v/>
      </c>
      <c r="X10">
        <f>HYPERLINK("https://klasma.github.io/Logging_1497/kartor/A 10014-2025 karta.png", "A 10014-2025")</f>
        <v/>
      </c>
      <c r="Y10">
        <f>HYPERLINK("https://klasma.github.io/Logging_1497/kartor_geotiff/A 10014-2025 georefererad karta.tif", "A 10014-2025")</f>
        <v/>
      </c>
      <c r="Z10">
        <f>HYPERLINK("https://klasma.github.io/Logging_1497/knärot/A 10014-2025 karta knärot.png", "A 10014-2025")</f>
        <v/>
      </c>
      <c r="AA10">
        <f>HYPERLINK("https://klasma.github.io/Logging_1497/klagomål/A 10014-2025 FSC-klagomål.docx", "A 10014-2025")</f>
        <v/>
      </c>
      <c r="AB10">
        <f>HYPERLINK("https://klasma.github.io/Logging_1497/klagomålsmail/A 10014-2025 FSC-klagomål mail.docx", "A 10014-2025")</f>
        <v/>
      </c>
      <c r="AC10">
        <f>HYPERLINK("https://klasma.github.io/Logging_1497/tillsyn/A 10014-2025 tillsynsbegäran.docx", "A 10014-2025")</f>
        <v/>
      </c>
      <c r="AD10">
        <f>HYPERLINK("https://klasma.github.io/Logging_1497/tillsynsmail/A 10014-2025 tillsynsbegäran mail.docx", "A 10014-2025")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46254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46254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46254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46254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9209-2022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46254</v>
      </c>
      <c r="F15" t="inlineStr">
        <is>
          <t>VÄSTRA GÖTALANDS LÄN</t>
        </is>
      </c>
      <c r="G15" t="inlineStr">
        <is>
          <t>HJO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19341-2022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44692</v>
      </c>
      <c r="E16" s="1" t="n">
        <v>46254</v>
      </c>
      <c r="F16" t="inlineStr">
        <is>
          <t>VÄSTRA GÖTALANDS LÄN</t>
        </is>
      </c>
      <c r="G16" t="inlineStr">
        <is>
          <t>HJO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46254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46254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46254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46254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46254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46254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46254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46254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46254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46254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46254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46254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46254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46254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46254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46254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46254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46254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46254</v>
      </c>
      <c r="F35" t="inlineStr">
        <is>
          <t>VÄSTRA GÖTALANDS LÄN</t>
        </is>
      </c>
      <c r="G35" t="inlineStr">
        <is>
          <t>HJO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46254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46254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46254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46254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46254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46254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62233-2022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44922</v>
      </c>
      <c r="E42" s="1" t="n">
        <v>46254</v>
      </c>
      <c r="F42" t="inlineStr">
        <is>
          <t>VÄSTRA GÖTALANDS LÄN</t>
        </is>
      </c>
      <c r="G42" t="inlineStr">
        <is>
          <t>HJO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45069</v>
      </c>
      <c r="E43" s="1" t="n">
        <v>46254</v>
      </c>
      <c r="F43" t="inlineStr">
        <is>
          <t>VÄSTRA GÖTALANDS LÄN</t>
        </is>
      </c>
      <c r="G43" t="inlineStr">
        <is>
          <t>HJO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46254</v>
      </c>
      <c r="F44" t="inlineStr">
        <is>
          <t>VÄSTRA GÖTALANDS LÄN</t>
        </is>
      </c>
      <c r="G44" t="inlineStr">
        <is>
          <t>HJO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46254</v>
      </c>
      <c r="F45" t="inlineStr">
        <is>
          <t>VÄSTRA GÖTALANDS LÄN</t>
        </is>
      </c>
      <c r="G45" t="inlineStr">
        <is>
          <t>HJO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45198</v>
      </c>
      <c r="E46" s="1" t="n">
        <v>46254</v>
      </c>
      <c r="F46" t="inlineStr">
        <is>
          <t>VÄSTRA GÖTALANDS LÄN</t>
        </is>
      </c>
      <c r="G46" t="inlineStr">
        <is>
          <t>HJO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46790-2023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45198</v>
      </c>
      <c r="E47" s="1" t="n">
        <v>46254</v>
      </c>
      <c r="F47" t="inlineStr">
        <is>
          <t>VÄSTRA GÖTALANDS LÄN</t>
        </is>
      </c>
      <c r="G47" t="inlineStr">
        <is>
          <t>HJO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44310-2024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45573</v>
      </c>
      <c r="E48" s="1" t="n">
        <v>46254</v>
      </c>
      <c r="F48" t="inlineStr">
        <is>
          <t>VÄSTRA GÖTALANDS LÄN</t>
        </is>
      </c>
      <c r="G48" t="inlineStr">
        <is>
          <t>HJO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46254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39540-2023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46254</v>
      </c>
      <c r="F50" t="inlineStr">
        <is>
          <t>VÄSTRA GÖTALANDS LÄN</t>
        </is>
      </c>
      <c r="G50" t="inlineStr">
        <is>
          <t>HJO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45300</v>
      </c>
      <c r="E51" s="1" t="n">
        <v>46254</v>
      </c>
      <c r="F51" t="inlineStr">
        <is>
          <t>VÄSTRA GÖTALANDS LÄN</t>
        </is>
      </c>
      <c r="G51" t="inlineStr">
        <is>
          <t>HJO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46254</v>
      </c>
      <c r="F52" t="inlineStr">
        <is>
          <t>VÄSTRA GÖTALANDS LÄN</t>
        </is>
      </c>
      <c r="G52" t="inlineStr">
        <is>
          <t>HJO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34859-2023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45142</v>
      </c>
      <c r="E53" s="1" t="n">
        <v>46254</v>
      </c>
      <c r="F53" t="inlineStr">
        <is>
          <t>VÄSTRA GÖTALANDS LÄN</t>
        </is>
      </c>
      <c r="G53" t="inlineStr">
        <is>
          <t>HJO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44684-2023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45186</v>
      </c>
      <c r="E54" s="1" t="n">
        <v>46254</v>
      </c>
      <c r="F54" t="inlineStr">
        <is>
          <t>VÄSTRA GÖTALANDS LÄN</t>
        </is>
      </c>
      <c r="G54" t="inlineStr">
        <is>
          <t>HJO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46254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9473-2023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46254</v>
      </c>
      <c r="F56" t="inlineStr">
        <is>
          <t>VÄSTRA GÖTALANDS LÄN</t>
        </is>
      </c>
      <c r="G56" t="inlineStr">
        <is>
          <t>HJO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44782</v>
      </c>
      <c r="E57" s="1" t="n">
        <v>46254</v>
      </c>
      <c r="F57" t="inlineStr">
        <is>
          <t>VÄSTRA GÖTALANDS LÄN</t>
        </is>
      </c>
      <c r="G57" t="inlineStr">
        <is>
          <t>HJO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45643</v>
      </c>
      <c r="E58" s="1" t="n">
        <v>46254</v>
      </c>
      <c r="F58" t="inlineStr">
        <is>
          <t>VÄSTRA GÖTALANDS LÄN</t>
        </is>
      </c>
      <c r="G58" t="inlineStr">
        <is>
          <t>HJO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50152-2023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46254</v>
      </c>
      <c r="F59" t="inlineStr">
        <is>
          <t>VÄSTRA GÖTALANDS LÄN</t>
        </is>
      </c>
      <c r="G59" t="inlineStr">
        <is>
          <t>HJO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45615</v>
      </c>
      <c r="E60" s="1" t="n">
        <v>46254</v>
      </c>
      <c r="F60" t="inlineStr">
        <is>
          <t>VÄSTRA GÖTALANDS LÄN</t>
        </is>
      </c>
      <c r="G60" t="inlineStr">
        <is>
          <t>HJO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45000</v>
      </c>
      <c r="E61" s="1" t="n">
        <v>46254</v>
      </c>
      <c r="F61" t="inlineStr">
        <is>
          <t>VÄSTRA GÖTALANDS LÄN</t>
        </is>
      </c>
      <c r="G61" t="inlineStr">
        <is>
          <t>HJO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59988-2024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45642</v>
      </c>
      <c r="E62" s="1" t="n">
        <v>46254</v>
      </c>
      <c r="F62" t="inlineStr">
        <is>
          <t>VÄSTRA GÖTALANDS LÄN</t>
        </is>
      </c>
      <c r="G62" t="inlineStr">
        <is>
          <t>HJO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63239-2021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44508</v>
      </c>
      <c r="E63" s="1" t="n">
        <v>46254</v>
      </c>
      <c r="F63" t="inlineStr">
        <is>
          <t>VÄSTRA GÖTALANDS LÄN</t>
        </is>
      </c>
      <c r="G63" t="inlineStr">
        <is>
          <t>HJO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45369</v>
      </c>
      <c r="E64" s="1" t="n">
        <v>46254</v>
      </c>
      <c r="F64" t="inlineStr">
        <is>
          <t>VÄSTRA GÖTALANDS LÄN</t>
        </is>
      </c>
      <c r="G64" t="inlineStr">
        <is>
          <t>HJO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14196-2023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45009</v>
      </c>
      <c r="E65" s="1" t="n">
        <v>46254</v>
      </c>
      <c r="F65" t="inlineStr">
        <is>
          <t>VÄSTRA GÖTALANDS LÄN</t>
        </is>
      </c>
      <c r="G65" t="inlineStr">
        <is>
          <t>HJO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14460-2023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45010</v>
      </c>
      <c r="E66" s="1" t="n">
        <v>46254</v>
      </c>
      <c r="F66" t="inlineStr">
        <is>
          <t>VÄSTRA GÖTALANDS LÄN</t>
        </is>
      </c>
      <c r="G66" t="inlineStr">
        <is>
          <t>HJO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55003-2024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45621</v>
      </c>
      <c r="E67" s="1" t="n">
        <v>46254</v>
      </c>
      <c r="F67" t="inlineStr">
        <is>
          <t>VÄSTRA GÖTALANDS LÄN</t>
        </is>
      </c>
      <c r="G67" t="inlineStr">
        <is>
          <t>HJO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46254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46254</v>
      </c>
      <c r="F69" t="inlineStr">
        <is>
          <t>VÄSTRA GÖTALANDS LÄN</t>
        </is>
      </c>
      <c r="G69" t="inlineStr">
        <is>
          <t>HJO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46254</v>
      </c>
      <c r="F70" t="inlineStr">
        <is>
          <t>VÄSTRA GÖTALANDS LÄN</t>
        </is>
      </c>
      <c r="G70" t="inlineStr">
        <is>
          <t>HJO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45390</v>
      </c>
      <c r="E71" s="1" t="n">
        <v>46254</v>
      </c>
      <c r="F71" t="inlineStr">
        <is>
          <t>VÄSTRA GÖTALANDS LÄN</t>
        </is>
      </c>
      <c r="G71" t="inlineStr">
        <is>
          <t>HJO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25053-2025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46254</v>
      </c>
      <c r="F72" t="inlineStr">
        <is>
          <t>VÄSTRA GÖTALANDS LÄN</t>
        </is>
      </c>
      <c r="G72" t="inlineStr">
        <is>
          <t>HJO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45257</v>
      </c>
      <c r="E73" s="1" t="n">
        <v>46254</v>
      </c>
      <c r="F73" t="inlineStr">
        <is>
          <t>VÄSTRA GÖTALANDS LÄN</t>
        </is>
      </c>
      <c r="G73" t="inlineStr">
        <is>
          <t>HJO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44560</v>
      </c>
      <c r="E74" s="1" t="n">
        <v>46254</v>
      </c>
      <c r="F74" t="inlineStr">
        <is>
          <t>VÄSTRA GÖTALANDS LÄN</t>
        </is>
      </c>
      <c r="G74" t="inlineStr">
        <is>
          <t>HJO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44963</v>
      </c>
      <c r="E75" s="1" t="n">
        <v>46254</v>
      </c>
      <c r="F75" t="inlineStr">
        <is>
          <t>VÄSTRA GÖTALANDS LÄN</t>
        </is>
      </c>
      <c r="G75" t="inlineStr">
        <is>
          <t>HJO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55119-2023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45237</v>
      </c>
      <c r="E76" s="1" t="n">
        <v>46254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58597-2022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46254</v>
      </c>
      <c r="F77" t="inlineStr">
        <is>
          <t>VÄSTRA GÖTALANDS LÄN</t>
        </is>
      </c>
      <c r="G77" t="inlineStr">
        <is>
          <t>HJO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45882</v>
      </c>
      <c r="E78" s="1" t="n">
        <v>46254</v>
      </c>
      <c r="F78" t="inlineStr">
        <is>
          <t>VÄSTRA GÖTALANDS LÄN</t>
        </is>
      </c>
      <c r="G78" t="inlineStr">
        <is>
          <t>HJO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23193-2026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46161</v>
      </c>
      <c r="E79" s="1" t="n">
        <v>46254</v>
      </c>
      <c r="F79" t="inlineStr">
        <is>
          <t>VÄSTRA GÖTALANDS LÄN</t>
        </is>
      </c>
      <c r="G79" t="inlineStr">
        <is>
          <t>HJO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46254</v>
      </c>
      <c r="F80" t="inlineStr">
        <is>
          <t>VÄSTRA GÖTALANDS LÄN</t>
        </is>
      </c>
      <c r="G80" t="inlineStr">
        <is>
          <t>HJO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45736-2025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45923</v>
      </c>
      <c r="E81" s="1" t="n">
        <v>46254</v>
      </c>
      <c r="F81" t="inlineStr">
        <is>
          <t>VÄSTRA GÖTALANDS LÄN</t>
        </is>
      </c>
      <c r="G81" t="inlineStr">
        <is>
          <t>HJO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29798-2024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45485</v>
      </c>
      <c r="E82" s="1" t="n">
        <v>46254</v>
      </c>
      <c r="F82" t="inlineStr">
        <is>
          <t>VÄSTRA GÖTALANDS LÄN</t>
        </is>
      </c>
      <c r="G82" t="inlineStr">
        <is>
          <t>HJO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45923</v>
      </c>
      <c r="E83" s="1" t="n">
        <v>46254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30636-2023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46254</v>
      </c>
      <c r="F84" t="inlineStr">
        <is>
          <t>VÄSTRA GÖTALANDS LÄN</t>
        </is>
      </c>
      <c r="G84" t="inlineStr">
        <is>
          <t>HJO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35486-2023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45146</v>
      </c>
      <c r="E85" s="1" t="n">
        <v>46254</v>
      </c>
      <c r="F85" t="inlineStr">
        <is>
          <t>VÄSTRA GÖTALANDS LÄN</t>
        </is>
      </c>
      <c r="G85" t="inlineStr">
        <is>
          <t>HJO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9297-2022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46254</v>
      </c>
      <c r="F86" t="inlineStr">
        <is>
          <t>VÄSTRA GÖTALANDS LÄN</t>
        </is>
      </c>
      <c r="G86" t="inlineStr">
        <is>
          <t>HJO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8814-2022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46254</v>
      </c>
      <c r="F87" t="inlineStr">
        <is>
          <t>VÄSTRA GÖTALANDS LÄN</t>
        </is>
      </c>
      <c r="G87" t="inlineStr">
        <is>
          <t>HJO</t>
        </is>
      </c>
      <c r="H87" t="inlineStr">
        <is>
          <t>Kyrkan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9338-2023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44980</v>
      </c>
      <c r="E88" s="1" t="n">
        <v>46254</v>
      </c>
      <c r="F88" t="inlineStr">
        <is>
          <t>VÄSTRA GÖTALANDS LÄN</t>
        </is>
      </c>
      <c r="G88" t="inlineStr">
        <is>
          <t>HJO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46254</v>
      </c>
      <c r="F89" t="inlineStr">
        <is>
          <t>VÄSTRA GÖTALANDS LÄN</t>
        </is>
      </c>
      <c r="G89" t="inlineStr">
        <is>
          <t>HJO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49278-2025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46254</v>
      </c>
      <c r="F90" t="inlineStr">
        <is>
          <t>VÄSTRA GÖTALANDS LÄN</t>
        </is>
      </c>
      <c r="G90" t="inlineStr">
        <is>
          <t>HJO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40629-2024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45557</v>
      </c>
      <c r="E91" s="1" t="n">
        <v>46254</v>
      </c>
      <c r="F91" t="inlineStr">
        <is>
          <t>VÄSTRA GÖTALANDS LÄN</t>
        </is>
      </c>
      <c r="G91" t="inlineStr">
        <is>
          <t>HJO</t>
        </is>
      </c>
      <c r="I91" t="n">
        <v>11.5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45943</v>
      </c>
      <c r="E92" s="1" t="n">
        <v>46254</v>
      </c>
      <c r="F92" t="inlineStr">
        <is>
          <t>VÄSTRA GÖTALANDS LÄN</t>
        </is>
      </c>
      <c r="G92" t="inlineStr">
        <is>
          <t>HJO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46254</v>
      </c>
      <c r="F93" t="inlineStr">
        <is>
          <t>VÄSTRA GÖTALANDS LÄN</t>
        </is>
      </c>
      <c r="G93" t="inlineStr">
        <is>
          <t>HJO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45950</v>
      </c>
      <c r="E94" s="1" t="n">
        <v>46254</v>
      </c>
      <c r="F94" t="inlineStr">
        <is>
          <t>VÄSTRA GÖTALANDS LÄN</t>
        </is>
      </c>
      <c r="G94" t="inlineStr">
        <is>
          <t>HJO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45615</v>
      </c>
      <c r="E95" s="1" t="n">
        <v>46254</v>
      </c>
      <c r="F95" t="inlineStr">
        <is>
          <t>VÄSTRA GÖTALANDS LÄN</t>
        </is>
      </c>
      <c r="G95" t="inlineStr">
        <is>
          <t>HJO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32961-2026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46244</v>
      </c>
      <c r="E96" s="1" t="n">
        <v>46254</v>
      </c>
      <c r="F96" t="inlineStr">
        <is>
          <t>VÄSTRA GÖTALANDS LÄN</t>
        </is>
      </c>
      <c r="G96" t="inlineStr">
        <is>
          <t>HJO</t>
        </is>
      </c>
      <c r="H96" t="inlineStr">
        <is>
          <t>Övriga Aktiebolag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32919-2026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46244</v>
      </c>
      <c r="E97" s="1" t="n">
        <v>46254</v>
      </c>
      <c r="F97" t="inlineStr">
        <is>
          <t>VÄSTRA GÖTALANDS LÄN</t>
        </is>
      </c>
      <c r="G97" t="inlineStr">
        <is>
          <t>HJO</t>
        </is>
      </c>
      <c r="H97" t="inlineStr">
        <is>
          <t>Övriga Aktiebolag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32921-2026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46244</v>
      </c>
      <c r="E98" s="1" t="n">
        <v>46254</v>
      </c>
      <c r="F98" t="inlineStr">
        <is>
          <t>VÄSTRA GÖTALANDS LÄN</t>
        </is>
      </c>
      <c r="G98" t="inlineStr">
        <is>
          <t>HJO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32914-2026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46244</v>
      </c>
      <c r="E99" s="1" t="n">
        <v>46254</v>
      </c>
      <c r="F99" t="inlineStr">
        <is>
          <t>VÄSTRA GÖTALANDS LÄN</t>
        </is>
      </c>
      <c r="G99" t="inlineStr">
        <is>
          <t>HJO</t>
        </is>
      </c>
      <c r="H99" t="inlineStr">
        <is>
          <t>Övriga Aktiebolag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46787-2023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45198</v>
      </c>
      <c r="E100" s="1" t="n">
        <v>46254</v>
      </c>
      <c r="F100" t="inlineStr">
        <is>
          <t>VÄSTRA GÖTALANDS LÄN</t>
        </is>
      </c>
      <c r="G100" t="inlineStr">
        <is>
          <t>HJO</t>
        </is>
      </c>
      <c r="I100" t="n">
        <v>8.800000000000001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32973-2026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46244</v>
      </c>
      <c r="E101" s="1" t="n">
        <v>46254</v>
      </c>
      <c r="F101" t="inlineStr">
        <is>
          <t>VÄSTRA GÖTALANDS LÄN</t>
        </is>
      </c>
      <c r="G101" t="inlineStr">
        <is>
          <t>HJO</t>
        </is>
      </c>
      <c r="H101" t="inlineStr">
        <is>
          <t>Övriga Aktiebolag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45229</v>
      </c>
      <c r="E102" s="1" t="n">
        <v>46254</v>
      </c>
      <c r="F102" t="inlineStr">
        <is>
          <t>VÄSTRA GÖTALANDS LÄN</t>
        </is>
      </c>
      <c r="G102" t="inlineStr">
        <is>
          <t>HJO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46254</v>
      </c>
      <c r="F103" t="inlineStr">
        <is>
          <t>VÄSTRA GÖTALANDS LÄN</t>
        </is>
      </c>
      <c r="G103" t="inlineStr">
        <is>
          <t>HJO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44957</v>
      </c>
      <c r="E104" s="1" t="n">
        <v>46254</v>
      </c>
      <c r="F104" t="inlineStr">
        <is>
          <t>VÄSTRA GÖTALANDS LÄN</t>
        </is>
      </c>
      <c r="G104" t="inlineStr">
        <is>
          <t>HJO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45349</v>
      </c>
      <c r="E105" s="1" t="n">
        <v>46254</v>
      </c>
      <c r="F105" t="inlineStr">
        <is>
          <t>VÄSTRA GÖTALANDS LÄN</t>
        </is>
      </c>
      <c r="G105" t="inlineStr">
        <is>
          <t>HJO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29953-2026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46205</v>
      </c>
      <c r="E106" s="1" t="n">
        <v>46254</v>
      </c>
      <c r="F106" t="inlineStr">
        <is>
          <t>VÄSTRA GÖTALANDS LÄN</t>
        </is>
      </c>
      <c r="G106" t="inlineStr">
        <is>
          <t>HJO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46205</v>
      </c>
      <c r="E107" s="1" t="n">
        <v>46254</v>
      </c>
      <c r="F107" t="inlineStr">
        <is>
          <t>VÄSTRA GÖTALANDS LÄN</t>
        </is>
      </c>
      <c r="G107" t="inlineStr">
        <is>
          <t>HJO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33950-2026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46252</v>
      </c>
      <c r="E108" s="1" t="n">
        <v>46254</v>
      </c>
      <c r="F108" t="inlineStr">
        <is>
          <t>VÄSTRA GÖTALANDS LÄN</t>
        </is>
      </c>
      <c r="G108" t="inlineStr">
        <is>
          <t>HJO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44963</v>
      </c>
      <c r="E109" s="1" t="n">
        <v>46254</v>
      </c>
      <c r="F109" t="inlineStr">
        <is>
          <t>VÄSTRA GÖTALANDS LÄN</t>
        </is>
      </c>
      <c r="G109" t="inlineStr">
        <is>
          <t>HJO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46254</v>
      </c>
      <c r="F110" t="inlineStr">
        <is>
          <t>VÄSTRA GÖTALANDS LÄN</t>
        </is>
      </c>
      <c r="G110" t="inlineStr">
        <is>
          <t>HJO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46254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26248-2024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46254</v>
      </c>
      <c r="F112" t="inlineStr">
        <is>
          <t>VÄSTRA GÖTALANDS LÄN</t>
        </is>
      </c>
      <c r="G112" t="inlineStr">
        <is>
          <t>HJO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46254</v>
      </c>
      <c r="F113" t="inlineStr">
        <is>
          <t>VÄSTRA GÖTALANDS LÄN</t>
        </is>
      </c>
      <c r="G113" t="inlineStr">
        <is>
          <t>HJO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46254</v>
      </c>
      <c r="F114" t="inlineStr">
        <is>
          <t>VÄSTRA GÖTALANDS LÄN</t>
        </is>
      </c>
      <c r="G114" t="inlineStr">
        <is>
          <t>HJO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46254</v>
      </c>
      <c r="F115" t="inlineStr">
        <is>
          <t>VÄSTRA GÖTALANDS LÄN</t>
        </is>
      </c>
      <c r="G115" t="inlineStr">
        <is>
          <t>HJO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46254</v>
      </c>
      <c r="F116" t="inlineStr">
        <is>
          <t>VÄSTRA GÖTALANDS LÄN</t>
        </is>
      </c>
      <c r="G116" t="inlineStr">
        <is>
          <t>HJO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27989-2022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44745</v>
      </c>
      <c r="E117" s="1" t="n">
        <v>46254</v>
      </c>
      <c r="F117" t="inlineStr">
        <is>
          <t>VÄSTRA GÖTALANDS LÄN</t>
        </is>
      </c>
      <c r="G117" t="inlineStr">
        <is>
          <t>HJO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45699</v>
      </c>
      <c r="E118" s="1" t="n">
        <v>46254</v>
      </c>
      <c r="F118" t="inlineStr">
        <is>
          <t>VÄSTRA GÖTALANDS LÄN</t>
        </is>
      </c>
      <c r="G118" t="inlineStr">
        <is>
          <t>HJO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63802-2025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46019</v>
      </c>
      <c r="E119" s="1" t="n">
        <v>46254</v>
      </c>
      <c r="F119" t="inlineStr">
        <is>
          <t>VÄSTRA GÖTALANDS LÄN</t>
        </is>
      </c>
      <c r="G119" t="inlineStr">
        <is>
          <t>HJO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26230-2023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45091</v>
      </c>
      <c r="E120" s="1" t="n">
        <v>46254</v>
      </c>
      <c r="F120" t="inlineStr">
        <is>
          <t>VÄSTRA GÖTALANDS LÄN</t>
        </is>
      </c>
      <c r="G120" t="inlineStr">
        <is>
          <t>HJO</t>
        </is>
      </c>
      <c r="H120" t="inlineStr">
        <is>
          <t>Övriga Aktiebolag</t>
        </is>
      </c>
      <c r="I120" t="n">
        <v>9.4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44939</v>
      </c>
      <c r="E121" s="1" t="n">
        <v>46254</v>
      </c>
      <c r="F121" t="inlineStr">
        <is>
          <t>VÄSTRA GÖTALANDS LÄN</t>
        </is>
      </c>
      <c r="G121" t="inlineStr">
        <is>
          <t>HJO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44939</v>
      </c>
      <c r="E122" s="1" t="n">
        <v>46254</v>
      </c>
      <c r="F122" t="inlineStr">
        <is>
          <t>VÄSTRA GÖTALANDS LÄN</t>
        </is>
      </c>
      <c r="G122" t="inlineStr">
        <is>
          <t>HJO</t>
        </is>
      </c>
      <c r="I122" t="n">
        <v>11.6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46254</v>
      </c>
      <c r="F123" t="inlineStr">
        <is>
          <t>VÄSTRA GÖTALANDS LÄN</t>
        </is>
      </c>
      <c r="G123" t="inlineStr">
        <is>
          <t>HJO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46254</v>
      </c>
      <c r="F124" t="inlineStr">
        <is>
          <t>VÄSTRA GÖTALANDS LÄN</t>
        </is>
      </c>
      <c r="G124" t="inlineStr">
        <is>
          <t>HJO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20024-2022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44697</v>
      </c>
      <c r="E125" s="1" t="n">
        <v>46254</v>
      </c>
      <c r="F125" t="inlineStr">
        <is>
          <t>VÄSTRA GÖTALANDS LÄN</t>
        </is>
      </c>
      <c r="G125" t="inlineStr">
        <is>
          <t>HJO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45161</v>
      </c>
      <c r="E126" s="1" t="n">
        <v>46254</v>
      </c>
      <c r="F126" t="inlineStr">
        <is>
          <t>VÄSTRA GÖTALANDS LÄN</t>
        </is>
      </c>
      <c r="G126" t="inlineStr">
        <is>
          <t>HJO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50711-2024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45602</v>
      </c>
      <c r="E127" s="1" t="n">
        <v>46254</v>
      </c>
      <c r="F127" t="inlineStr">
        <is>
          <t>VÄSTRA GÖTALANDS LÄN</t>
        </is>
      </c>
      <c r="G127" t="inlineStr">
        <is>
          <t>HJO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70743-2021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44537</v>
      </c>
      <c r="E128" s="1" t="n">
        <v>46254</v>
      </c>
      <c r="F128" t="inlineStr">
        <is>
          <t>VÄSTRA GÖTALANDS LÄN</t>
        </is>
      </c>
      <c r="G128" t="inlineStr">
        <is>
          <t>HJO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46254</v>
      </c>
      <c r="F129" t="inlineStr">
        <is>
          <t>VÄSTRA GÖTALANDS LÄN</t>
        </is>
      </c>
      <c r="G129" t="inlineStr">
        <is>
          <t>HJO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46254</v>
      </c>
      <c r="F130" t="inlineStr">
        <is>
          <t>VÄSTRA GÖTALANDS LÄN</t>
        </is>
      </c>
      <c r="G130" t="inlineStr">
        <is>
          <t>HJO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6705-2026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46056</v>
      </c>
      <c r="E131" s="1" t="n">
        <v>46254</v>
      </c>
      <c r="F131" t="inlineStr">
        <is>
          <t>VÄSTRA GÖTALANDS LÄN</t>
        </is>
      </c>
      <c r="G131" t="inlineStr">
        <is>
          <t>HJO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45028</v>
      </c>
      <c r="E132" s="1" t="n">
        <v>46254</v>
      </c>
      <c r="F132" t="inlineStr">
        <is>
          <t>VÄSTRA GÖTALANDS LÄN</t>
        </is>
      </c>
      <c r="G132" t="inlineStr">
        <is>
          <t>HJO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39538-2023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45167</v>
      </c>
      <c r="E133" s="1" t="n">
        <v>46254</v>
      </c>
      <c r="F133" t="inlineStr">
        <is>
          <t>VÄSTRA GÖTALANDS LÄN</t>
        </is>
      </c>
      <c r="G133" t="inlineStr">
        <is>
          <t>HJO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45266</v>
      </c>
      <c r="E134" s="1" t="n">
        <v>46254</v>
      </c>
      <c r="F134" t="inlineStr">
        <is>
          <t>VÄSTRA GÖTALANDS LÄN</t>
        </is>
      </c>
      <c r="G134" t="inlineStr">
        <is>
          <t>HJO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12165-2026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46086</v>
      </c>
      <c r="E135" s="1" t="n">
        <v>46254</v>
      </c>
      <c r="F135" t="inlineStr">
        <is>
          <t>VÄSTRA GÖTALANDS LÄN</t>
        </is>
      </c>
      <c r="G135" t="inlineStr">
        <is>
          <t>HJO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49025-2023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45209</v>
      </c>
      <c r="E136" s="1" t="n">
        <v>46254</v>
      </c>
      <c r="F136" t="inlineStr">
        <is>
          <t>VÄSTRA GÖTALANDS LÄN</t>
        </is>
      </c>
      <c r="G136" t="inlineStr">
        <is>
          <t>HJO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13694-2024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46254</v>
      </c>
      <c r="F137" t="inlineStr">
        <is>
          <t>VÄSTRA GÖTALANDS LÄN</t>
        </is>
      </c>
      <c r="G137" t="inlineStr">
        <is>
          <t>HJO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46520-2023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45197</v>
      </c>
      <c r="E138" s="1" t="n">
        <v>46254</v>
      </c>
      <c r="F138" t="inlineStr">
        <is>
          <t>VÄSTRA GÖTALANDS LÄN</t>
        </is>
      </c>
      <c r="G138" t="inlineStr">
        <is>
          <t>HJO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29596-2024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45484</v>
      </c>
      <c r="E139" s="1" t="n">
        <v>46254</v>
      </c>
      <c r="F139" t="inlineStr">
        <is>
          <t>VÄSTRA GÖTALANDS LÄN</t>
        </is>
      </c>
      <c r="G139" t="inlineStr">
        <is>
          <t>HJO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15019-2026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46104</v>
      </c>
      <c r="E140" s="1" t="n">
        <v>46254</v>
      </c>
      <c r="F140" t="inlineStr">
        <is>
          <t>VÄSTRA GÖTALANDS LÄN</t>
        </is>
      </c>
      <c r="G140" t="inlineStr">
        <is>
          <t>HJO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46254</v>
      </c>
      <c r="F141" t="inlineStr">
        <is>
          <t>VÄSTRA GÖTALANDS LÄN</t>
        </is>
      </c>
      <c r="G141" t="inlineStr">
        <is>
          <t>HJO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37789-2022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44810</v>
      </c>
      <c r="E142" s="1" t="n">
        <v>46254</v>
      </c>
      <c r="F142" t="inlineStr">
        <is>
          <t>VÄSTRA GÖTALANDS LÄN</t>
        </is>
      </c>
      <c r="G142" t="inlineStr">
        <is>
          <t>HJO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46254</v>
      </c>
      <c r="F143" t="inlineStr">
        <is>
          <t>VÄSTRA GÖTALANDS LÄN</t>
        </is>
      </c>
      <c r="G143" t="inlineStr">
        <is>
          <t>HJO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43370-2025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46254</v>
      </c>
      <c r="F144" t="inlineStr">
        <is>
          <t>VÄSTRA GÖTALANDS LÄN</t>
        </is>
      </c>
      <c r="G144" t="inlineStr">
        <is>
          <t>HJO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45771</v>
      </c>
      <c r="E145" s="1" t="n">
        <v>46254</v>
      </c>
      <c r="F145" t="inlineStr">
        <is>
          <t>VÄSTRA GÖTALANDS LÄN</t>
        </is>
      </c>
      <c r="G145" t="inlineStr">
        <is>
          <t>HJO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26792-2024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45470</v>
      </c>
      <c r="E146" s="1" t="n">
        <v>46254</v>
      </c>
      <c r="F146" t="inlineStr">
        <is>
          <t>VÄSTRA GÖTALANDS LÄN</t>
        </is>
      </c>
      <c r="G146" t="inlineStr">
        <is>
          <t>HJO</t>
        </is>
      </c>
      <c r="H146" t="inlineStr">
        <is>
          <t>Kyrkan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46254</v>
      </c>
      <c r="F147" t="inlineStr">
        <is>
          <t>VÄSTRA GÖTALANDS LÄN</t>
        </is>
      </c>
      <c r="G147" t="inlineStr">
        <is>
          <t>HJO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8145-2024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45351</v>
      </c>
      <c r="E148" s="1" t="n">
        <v>46254</v>
      </c>
      <c r="F148" t="inlineStr">
        <is>
          <t>VÄSTRA GÖTALANDS LÄN</t>
        </is>
      </c>
      <c r="G148" t="inlineStr">
        <is>
          <t>HJO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46254</v>
      </c>
      <c r="F149" t="inlineStr">
        <is>
          <t>VÄSTRA GÖTALANDS LÄN</t>
        </is>
      </c>
      <c r="G149" t="inlineStr">
        <is>
          <t>HJO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46254</v>
      </c>
      <c r="F150" t="inlineStr">
        <is>
          <t>VÄSTRA GÖTALANDS LÄN</t>
        </is>
      </c>
      <c r="G150" t="inlineStr">
        <is>
          <t>HJO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45805</v>
      </c>
      <c r="E151" s="1" t="n">
        <v>46254</v>
      </c>
      <c r="F151" t="inlineStr">
        <is>
          <t>VÄSTRA GÖTALANDS LÄN</t>
        </is>
      </c>
      <c r="G151" t="inlineStr">
        <is>
          <t>HJO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46254</v>
      </c>
      <c r="F152" t="inlineStr">
        <is>
          <t>VÄSTRA GÖTALANDS LÄN</t>
        </is>
      </c>
      <c r="G152" t="inlineStr">
        <is>
          <t>HJO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45685</v>
      </c>
      <c r="E153" s="1" t="n">
        <v>46254</v>
      </c>
      <c r="F153" t="inlineStr">
        <is>
          <t>VÄSTRA GÖTALANDS LÄN</t>
        </is>
      </c>
      <c r="G153" t="inlineStr">
        <is>
          <t>HJO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45826</v>
      </c>
      <c r="E154" s="1" t="n">
        <v>46254</v>
      </c>
      <c r="F154" t="inlineStr">
        <is>
          <t>VÄSTRA GÖTALANDS LÄN</t>
        </is>
      </c>
      <c r="G154" t="inlineStr">
        <is>
          <t>HJO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45254</v>
      </c>
      <c r="E155" s="1" t="n">
        <v>46254</v>
      </c>
      <c r="F155" t="inlineStr">
        <is>
          <t>VÄSTRA GÖTALANDS LÄN</t>
        </is>
      </c>
      <c r="G155" t="inlineStr">
        <is>
          <t>HJO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45854</v>
      </c>
      <c r="E156" s="1" t="n">
        <v>46254</v>
      </c>
      <c r="F156" t="inlineStr">
        <is>
          <t>VÄSTRA GÖTALANDS LÄN</t>
        </is>
      </c>
      <c r="G156" t="inlineStr">
        <is>
          <t>HJO</t>
        </is>
      </c>
      <c r="H156" t="inlineStr">
        <is>
          <t>Sveaskog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45735</v>
      </c>
      <c r="E157" s="1" t="n">
        <v>46254</v>
      </c>
      <c r="F157" t="inlineStr">
        <is>
          <t>VÄSTRA GÖTALANDS LÄN</t>
        </is>
      </c>
      <c r="G157" t="inlineStr">
        <is>
          <t>HJO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46254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46254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2026-08-20T01:50:04Z</dcterms:created>
  <dcterms:modified xmlns:dcterms="http://purl.org/dc/terms/" xmlns:xsi="http://www.w3.org/2001/XMLSchema-instance" xsi:type="dcterms:W3CDTF">2026-08-20T01:50:04Z</dcterms:modified>
</cp:coreProperties>
</file>