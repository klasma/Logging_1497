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39364-2026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46288</v>
      </c>
      <c r="E2" s="1" t="n">
        <v>46323</v>
      </c>
      <c r="F2" t="inlineStr">
        <is>
          <t>VÄSTRA GÖTALANDS LÄN</t>
        </is>
      </c>
      <c r="G2" t="inlineStr">
        <is>
          <t>HJO</t>
        </is>
      </c>
      <c r="H2" t="inlineStr">
        <is>
          <t>Övriga Aktiebolag</t>
        </is>
      </c>
      <c r="I2" t="n">
        <v>10.6</v>
      </c>
      <c r="J2" t="n">
        <v>2</v>
      </c>
      <c r="K2" t="n">
        <v>2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0</v>
      </c>
      <c r="S2" t="n">
        <v>7</v>
      </c>
      <c r="T2" t="n">
        <v>7</v>
      </c>
      <c r="U2" t="n">
        <v>3</v>
      </c>
      <c r="V2" s="2" t="inlineStr">
        <is>
          <t>Brunlångöra
Dropptaggsvamp
Motaggsvamp
Skarp dropptaggsvamp
Fransig jordstjärna
Grovticka
Svartvit flugsnappare</t>
        </is>
      </c>
      <c r="W2">
        <f>HYPERLINK("https://klasma.github.io/Logging_1497/artfynd/A 39364-2026 artfynd.xlsx", "A 39364-2026")</f>
        <v/>
      </c>
      <c r="X2">
        <f>HYPERLINK("https://klasma.github.io/Logging_1497/kartor/A 39364-2026 karta.png", "A 39364-2026")</f>
        <v/>
      </c>
      <c r="Y2">
        <f>HYPERLINK("https://klasma.github.io/Logging_1497/kartor_geotiff/A 39364-2026 georefererad karta.tif", "A 39364-2026")</f>
        <v/>
      </c>
      <c r="AA2">
        <f>HYPERLINK("https://klasma.github.io/Logging_1497/klagomål/A 39364-2026 FSC-klagomål.docx", "A 39364-2026")</f>
        <v/>
      </c>
      <c r="AB2">
        <f>HYPERLINK("https://klasma.github.io/Logging_1497/klagomålsmail/A 39364-2026 FSC-klagomål mail.docx", "A 39364-2026")</f>
        <v/>
      </c>
      <c r="AC2">
        <f>HYPERLINK("https://klasma.github.io/Logging_1497/tillsyn/A 39364-2026 tillsynsbegäran.docx", "A 39364-2026")</f>
        <v/>
      </c>
      <c r="AD2">
        <f>HYPERLINK("https://klasma.github.io/Logging_1497/tillsynsmail/A 39364-2026 tillsynsbegäran mail.docx", "A 39364-2026")</f>
        <v/>
      </c>
    </row>
    <row r="3" ht="15" customHeight="1">
      <c r="A3" t="inlineStr">
        <is>
          <t>A 36434-2026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46269</v>
      </c>
      <c r="E3" s="1" t="n">
        <v>46323</v>
      </c>
      <c r="F3" t="inlineStr">
        <is>
          <t>VÄSTRA GÖTALANDS LÄN</t>
        </is>
      </c>
      <c r="G3" t="inlineStr">
        <is>
          <t>HJO</t>
        </is>
      </c>
      <c r="H3" t="inlineStr">
        <is>
          <t>Övriga Aktiebolag</t>
        </is>
      </c>
      <c r="I3" t="n">
        <v>4.6</v>
      </c>
      <c r="J3" t="n">
        <v>1</v>
      </c>
      <c r="K3" t="n">
        <v>1</v>
      </c>
      <c r="L3" t="n">
        <v>4</v>
      </c>
      <c r="M3" t="n">
        <v>0</v>
      </c>
      <c r="N3" t="n">
        <v>1</v>
      </c>
      <c r="O3" t="n">
        <v>0</v>
      </c>
      <c r="P3" t="n">
        <v>0</v>
      </c>
      <c r="Q3" t="n">
        <v>5</v>
      </c>
      <c r="R3" t="n">
        <v>1</v>
      </c>
      <c r="S3" t="n">
        <v>7</v>
      </c>
      <c r="T3" t="n">
        <v>11</v>
      </c>
      <c r="U3" t="n">
        <v>8</v>
      </c>
      <c r="V3" s="2" t="inlineStr">
        <is>
          <t>Ask
Dropptaggsvamp
Motaggsvamp
Skarp dropptaggsvamp
Ägretthäger
Fransig jordstjärna
Linnea</t>
        </is>
      </c>
      <c r="W3">
        <f>HYPERLINK("https://klasma.github.io/Logging_1497/artfynd/A 36434-2026 artfynd.xlsx", "A 36434-2026")</f>
        <v/>
      </c>
      <c r="X3">
        <f>HYPERLINK("https://klasma.github.io/Logging_1497/kartor/A 36434-2026 karta.png", "A 36434-2026")</f>
        <v/>
      </c>
      <c r="Y3">
        <f>HYPERLINK("https://klasma.github.io/Logging_1497/kartor_geotiff/A 36434-2026 georefererad karta.tif", "A 36434-2026")</f>
        <v/>
      </c>
      <c r="AA3">
        <f>HYPERLINK("https://klasma.github.io/Logging_1497/klagomål/A 36434-2026 FSC-klagomål.docx", "A 36434-2026")</f>
        <v/>
      </c>
      <c r="AB3">
        <f>HYPERLINK("https://klasma.github.io/Logging_1497/klagomålsmail/A 36434-2026 FSC-klagomål mail.docx", "A 36434-2026")</f>
        <v/>
      </c>
      <c r="AC3">
        <f>HYPERLINK("https://klasma.github.io/Logging_1497/tillsyn/A 36434-2026 tillsynsbegäran.docx", "A 36434-2026")</f>
        <v/>
      </c>
      <c r="AD3">
        <f>HYPERLINK("https://klasma.github.io/Logging_1497/tillsynsmail/A 36434-2026 tillsynsbegäran mail.docx", "A 36434-2026")</f>
        <v/>
      </c>
      <c r="AE3">
        <f>HYPERLINK("https://klasma.github.io/Logging_1497/fåglar/A 36434-2026 prioriterade fågelarter.docx", "A 36434-2026")</f>
        <v/>
      </c>
    </row>
    <row r="4" ht="15" customHeight="1">
      <c r="A4" t="inlineStr">
        <is>
          <t>S 1120-2023</t>
        </is>
      </c>
      <c r="B4" t="inlineStr">
        <is>
          <t>samrådsanmälan</t>
        </is>
      </c>
      <c r="C4" t="inlineStr">
        <is>
          <t>Annan skogsbruksåtgärd</t>
        </is>
      </c>
      <c r="D4" s="1" t="n">
        <v>45015</v>
      </c>
      <c r="E4" s="1" t="n">
        <v>46323</v>
      </c>
      <c r="F4" t="inlineStr">
        <is>
          <t>VÄSTRA GÖTALANDS LÄN</t>
        </is>
      </c>
      <c r="G4" t="inlineStr">
        <is>
          <t>HJO</t>
        </is>
      </c>
      <c r="H4" t="inlineStr">
        <is>
          <t>Övriga Aktiebolag</t>
        </is>
      </c>
      <c r="I4" t="n">
        <v>1.5</v>
      </c>
      <c r="J4" t="n">
        <v>1</v>
      </c>
      <c r="K4" t="n">
        <v>2</v>
      </c>
      <c r="L4" t="n">
        <v>2</v>
      </c>
      <c r="M4" t="n">
        <v>0</v>
      </c>
      <c r="N4" t="n">
        <v>1</v>
      </c>
      <c r="O4" t="n">
        <v>0</v>
      </c>
      <c r="P4" t="n">
        <v>0</v>
      </c>
      <c r="Q4" t="n">
        <v>3</v>
      </c>
      <c r="R4" t="n">
        <v>1</v>
      </c>
      <c r="S4" t="n">
        <v>6</v>
      </c>
      <c r="T4" t="n">
        <v>6</v>
      </c>
      <c r="U4" t="n">
        <v>0</v>
      </c>
      <c r="V4" s="2" t="inlineStr">
        <is>
          <t>Ask
Gullpudra
Korallticka
Strutbräken
Trädporella
Gröngöling</t>
        </is>
      </c>
      <c r="W4">
        <f>HYPERLINK("https://klasma.github.io/Logging_1497/artfynd/S 1120-2023 artfynd.xlsx", "S 1120-2023")</f>
        <v/>
      </c>
      <c r="X4">
        <f>HYPERLINK("https://klasma.github.io/Logging_1497/kartor/S 1120-2023 karta.png", "S 1120-2023")</f>
        <v/>
      </c>
      <c r="Y4">
        <f>HYPERLINK("https://klasma.github.io/Logging_1497/kartor_geotiff/S 1120-2023 georefererad karta.tif", "S 1120-2023")</f>
        <v/>
      </c>
      <c r="AA4">
        <f>HYPERLINK("https://klasma.github.io/Logging_1497/klagomål/S 1120-2023 FSC-klagomål.docx", "S 1120-2023")</f>
        <v/>
      </c>
      <c r="AB4">
        <f>HYPERLINK("https://klasma.github.io/Logging_1497/klagomålsmail/S 1120-2023 FSC-klagomål mail.docx", "S 1120-2023")</f>
        <v/>
      </c>
      <c r="AC4">
        <f>HYPERLINK("https://klasma.github.io/Logging_1497/tillsyn/S 1120-2023 tillsynsbegäran.docx", "S 1120-2023")</f>
        <v/>
      </c>
      <c r="AD4">
        <f>HYPERLINK("https://klasma.github.io/Logging_1497/tillsynsmail/S 1120-2023 tillsynsbegäran mail.docx", "S 1120-2023")</f>
        <v/>
      </c>
    </row>
    <row r="5" ht="15" customHeight="1">
      <c r="A5" t="inlineStr">
        <is>
          <t>A 48359-2025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45933</v>
      </c>
      <c r="E5" s="1" t="n">
        <v>46323</v>
      </c>
      <c r="F5" t="inlineStr">
        <is>
          <t>VÄSTRA GÖTALANDS LÄN</t>
        </is>
      </c>
      <c r="G5" t="inlineStr">
        <is>
          <t>HJO</t>
        </is>
      </c>
      <c r="I5" t="n">
        <v>3.5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2</v>
      </c>
      <c r="T5" t="n">
        <v>2</v>
      </c>
      <c r="U5" t="n">
        <v>0</v>
      </c>
      <c r="V5" s="2" t="inlineStr">
        <is>
          <t>Dunmossa
Blåmossa</t>
        </is>
      </c>
      <c r="W5">
        <f>HYPERLINK("https://klasma.github.io/Logging_1497/artfynd/A 48359-2025 artfynd.xlsx", "A 48359-2025")</f>
        <v/>
      </c>
      <c r="X5">
        <f>HYPERLINK("https://klasma.github.io/Logging_1497/kartor/A 48359-2025 karta.png", "A 48359-2025")</f>
        <v/>
      </c>
      <c r="Y5">
        <f>HYPERLINK("https://klasma.github.io/Logging_1497/kartor_geotiff/A 48359-2025 georefererad karta.tif", "A 48359-2025")</f>
        <v/>
      </c>
      <c r="AA5">
        <f>HYPERLINK("https://klasma.github.io/Logging_1497/klagomål/A 48359-2025 FSC-klagomål.docx", "A 48359-2025")</f>
        <v/>
      </c>
      <c r="AB5">
        <f>HYPERLINK("https://klasma.github.io/Logging_1497/klagomålsmail/A 48359-2025 FSC-klagomål mail.docx", "A 48359-2025")</f>
        <v/>
      </c>
      <c r="AC5">
        <f>HYPERLINK("https://klasma.github.io/Logging_1497/tillsyn/A 48359-2025 tillsynsbegäran.docx", "A 48359-2025")</f>
        <v/>
      </c>
      <c r="AD5">
        <f>HYPERLINK("https://klasma.github.io/Logging_1497/tillsynsmail/A 48359-2025 tillsynsbegäran mail.docx", "A 48359-2025")</f>
        <v/>
      </c>
    </row>
    <row r="6" ht="15" customHeight="1">
      <c r="A6" t="inlineStr">
        <is>
          <t>A 36441-2026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46269</v>
      </c>
      <c r="E6" s="1" t="n">
        <v>46323</v>
      </c>
      <c r="F6" t="inlineStr">
        <is>
          <t>VÄSTRA GÖTALANDS LÄN</t>
        </is>
      </c>
      <c r="G6" t="inlineStr">
        <is>
          <t>HJO</t>
        </is>
      </c>
      <c r="H6" t="inlineStr">
        <is>
          <t>Övriga Aktiebolag</t>
        </is>
      </c>
      <c r="I6" t="n">
        <v>6.8</v>
      </c>
      <c r="J6" t="n">
        <v>2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2</v>
      </c>
      <c r="T6" t="n">
        <v>2</v>
      </c>
      <c r="U6" t="n">
        <v>0</v>
      </c>
      <c r="V6" s="2" t="inlineStr">
        <is>
          <t>Gulsparv
Talltita</t>
        </is>
      </c>
      <c r="W6">
        <f>HYPERLINK("https://klasma.github.io/Logging_1497/artfynd/A 36441-2026 artfynd.xlsx", "A 36441-2026")</f>
        <v/>
      </c>
      <c r="X6">
        <f>HYPERLINK("https://klasma.github.io/Logging_1497/kartor/A 36441-2026 karta.png", "A 36441-2026")</f>
        <v/>
      </c>
      <c r="Y6">
        <f>HYPERLINK("https://klasma.github.io/Logging_1497/kartor_geotiff/A 36441-2026 georefererad karta.tif", "A 36441-2026")</f>
        <v/>
      </c>
      <c r="AA6">
        <f>HYPERLINK("https://klasma.github.io/Logging_1497/klagomål/A 36441-2026 FSC-klagomål.docx", "A 36441-2026")</f>
        <v/>
      </c>
      <c r="AB6">
        <f>HYPERLINK("https://klasma.github.io/Logging_1497/klagomålsmail/A 36441-2026 FSC-klagomål mail.docx", "A 36441-2026")</f>
        <v/>
      </c>
      <c r="AC6">
        <f>HYPERLINK("https://klasma.github.io/Logging_1497/tillsyn/A 36441-2026 tillsynsbegäran.docx", "A 36441-2026")</f>
        <v/>
      </c>
      <c r="AD6">
        <f>HYPERLINK("https://klasma.github.io/Logging_1497/tillsynsmail/A 36441-2026 tillsynsbegäran mail.docx", "A 36441-2026")</f>
        <v/>
      </c>
      <c r="AE6">
        <f>HYPERLINK("https://klasma.github.io/Logging_1497/fåglar/A 36441-2026 prioriterade fågelarter.docx", "A 36441-2026")</f>
        <v/>
      </c>
    </row>
    <row r="7" ht="15" customHeight="1">
      <c r="A7" t="inlineStr">
        <is>
          <t>A 4966-2022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44593</v>
      </c>
      <c r="E7" s="1" t="n">
        <v>46323</v>
      </c>
      <c r="F7" t="inlineStr">
        <is>
          <t>VÄSTRA GÖTALANDS LÄN</t>
        </is>
      </c>
      <c r="G7" t="inlineStr">
        <is>
          <t>HJO</t>
        </is>
      </c>
      <c r="I7" t="n">
        <v>0.6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s="2" t="inlineStr">
        <is>
          <t>Ask</t>
        </is>
      </c>
      <c r="W7">
        <f>HYPERLINK("https://klasma.github.io/Logging_1497/artfynd/A 4966-2022 artfynd.xlsx", "A 4966-2022")</f>
        <v/>
      </c>
      <c r="X7">
        <f>HYPERLINK("https://klasma.github.io/Logging_1497/kartor/A 4966-2022 karta.png", "A 4966-2022")</f>
        <v/>
      </c>
      <c r="Y7">
        <f>HYPERLINK("https://klasma.github.io/Logging_1497/kartor_geotiff/A 4966-2022 georefererad karta.tif", "A 4966-2022")</f>
        <v/>
      </c>
      <c r="AA7">
        <f>HYPERLINK("https://klasma.github.io/Logging_1497/klagomål/A 4966-2022 FSC-klagomål.docx", "A 4966-2022")</f>
        <v/>
      </c>
      <c r="AB7">
        <f>HYPERLINK("https://klasma.github.io/Logging_1497/klagomålsmail/A 4966-2022 FSC-klagomål mail.docx", "A 4966-2022")</f>
        <v/>
      </c>
      <c r="AC7">
        <f>HYPERLINK("https://klasma.github.io/Logging_1497/tillsyn/A 4966-2022 tillsynsbegäran.docx", "A 4966-2022")</f>
        <v/>
      </c>
      <c r="AD7">
        <f>HYPERLINK("https://klasma.github.io/Logging_1497/tillsynsmail/A 4966-2022 tillsynsbegäran mail.docx", "A 4966-2022")</f>
        <v/>
      </c>
    </row>
    <row r="8" ht="15" customHeight="1">
      <c r="A8" t="inlineStr">
        <is>
          <t>A 10014-2025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45719</v>
      </c>
      <c r="E8" s="1" t="n">
        <v>46323</v>
      </c>
      <c r="F8" t="inlineStr">
        <is>
          <t>VÄSTRA GÖTALANDS LÄN</t>
        </is>
      </c>
      <c r="G8" t="inlineStr">
        <is>
          <t>HJO</t>
        </is>
      </c>
      <c r="I8" t="n">
        <v>5.9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4</v>
      </c>
      <c r="U8" t="n">
        <v>4</v>
      </c>
      <c r="V8" s="2" t="inlineStr">
        <is>
          <t>Knärot</t>
        </is>
      </c>
      <c r="W8">
        <f>HYPERLINK("https://klasma.github.io/Logging_1497/artfynd/A 10014-2025 artfynd.xlsx", "A 10014-2025")</f>
        <v/>
      </c>
      <c r="X8">
        <f>HYPERLINK("https://klasma.github.io/Logging_1497/kartor/A 10014-2025 karta.png", "A 10014-2025")</f>
        <v/>
      </c>
      <c r="Y8">
        <f>HYPERLINK("https://klasma.github.io/Logging_1497/kartor_geotiff/A 10014-2025 georefererad karta.tif", "A 10014-2025")</f>
        <v/>
      </c>
      <c r="Z8">
        <f>HYPERLINK("https://klasma.github.io/Logging_1497/knärot/A 10014-2025 karta knärot.png", "A 10014-2025")</f>
        <v/>
      </c>
      <c r="AA8">
        <f>HYPERLINK("https://klasma.github.io/Logging_1497/klagomål/A 10014-2025 FSC-klagomål.docx", "A 10014-2025")</f>
        <v/>
      </c>
      <c r="AB8">
        <f>HYPERLINK("https://klasma.github.io/Logging_1497/klagomålsmail/A 10014-2025 FSC-klagomål mail.docx", "A 10014-2025")</f>
        <v/>
      </c>
      <c r="AC8">
        <f>HYPERLINK("https://klasma.github.io/Logging_1497/tillsyn/A 10014-2025 tillsynsbegäran.docx", "A 10014-2025")</f>
        <v/>
      </c>
      <c r="AD8">
        <f>HYPERLINK("https://klasma.github.io/Logging_1497/tillsynsmail/A 10014-2025 tillsynsbegäran mail.docx", "A 10014-2025")</f>
        <v/>
      </c>
    </row>
    <row r="9" ht="15" customHeight="1">
      <c r="A9" t="inlineStr">
        <is>
          <t>A 26270-2024</t>
        </is>
      </c>
      <c r="B9" t="inlineStr">
        <is>
          <t>avverkningsanmälan</t>
        </is>
      </c>
      <c r="C9" t="inlineStr">
        <is>
          <t>Avverkning för annat ändamål</t>
        </is>
      </c>
      <c r="D9" s="1" t="n">
        <v>45468</v>
      </c>
      <c r="E9" s="1" t="n">
        <v>46323</v>
      </c>
      <c r="F9" t="inlineStr">
        <is>
          <t>VÄSTRA GÖTALANDS LÄN</t>
        </is>
      </c>
      <c r="G9" t="inlineStr">
        <is>
          <t>HJO</t>
        </is>
      </c>
      <c r="I9" t="n">
        <v>5.6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s="2" t="inlineStr">
        <is>
          <t>Ask</t>
        </is>
      </c>
      <c r="W9">
        <f>HYPERLINK("https://klasma.github.io/Logging_1497/artfynd/A 26270-2024 artfynd.xlsx", "A 26270-2024")</f>
        <v/>
      </c>
      <c r="X9">
        <f>HYPERLINK("https://klasma.github.io/Logging_1497/kartor/A 26270-2024 karta.png", "A 26270-2024")</f>
        <v/>
      </c>
      <c r="Y9">
        <f>HYPERLINK("https://klasma.github.io/Logging_1497/kartor_geotiff/A 26270-2024 georefererad karta.tif", "A 26270-2024")</f>
        <v/>
      </c>
      <c r="AA9">
        <f>HYPERLINK("https://klasma.github.io/Logging_1497/klagomål/A 26270-2024 FSC-klagomål.docx", "A 26270-2024")</f>
        <v/>
      </c>
      <c r="AB9">
        <f>HYPERLINK("https://klasma.github.io/Logging_1497/klagomålsmail/A 26270-2024 FSC-klagomål mail.docx", "A 26270-2024")</f>
        <v/>
      </c>
      <c r="AC9">
        <f>HYPERLINK("https://klasma.github.io/Logging_1497/tillsyn/A 26270-2024 tillsynsbegäran.docx", "A 26270-2024")</f>
        <v/>
      </c>
      <c r="AD9">
        <f>HYPERLINK("https://klasma.github.io/Logging_1497/tillsynsmail/A 26270-2024 tillsynsbegäran mail.docx", "A 26270-2024")</f>
        <v/>
      </c>
    </row>
    <row r="10" ht="15" customHeight="1">
      <c r="A10" t="inlineStr">
        <is>
          <t>A 32951-2026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46244</v>
      </c>
      <c r="E10" s="1" t="n">
        <v>46323</v>
      </c>
      <c r="F10" t="inlineStr">
        <is>
          <t>VÄSTRA GÖTALANDS LÄN</t>
        </is>
      </c>
      <c r="G10" t="inlineStr">
        <is>
          <t>HJO</t>
        </is>
      </c>
      <c r="H10" t="inlineStr">
        <is>
          <t>Övriga Aktiebolag</t>
        </is>
      </c>
      <c r="I10" t="n">
        <v>3.4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s="2" t="inlineStr">
        <is>
          <t>Brun nållav</t>
        </is>
      </c>
      <c r="W10">
        <f>HYPERLINK("https://klasma.github.io/Logging_1497/artfynd/A 32951-2026 artfynd.xlsx", "A 32951-2026")</f>
        <v/>
      </c>
      <c r="X10">
        <f>HYPERLINK("https://klasma.github.io/Logging_1497/kartor/A 32951-2026 karta.png", "A 32951-2026")</f>
        <v/>
      </c>
      <c r="Y10">
        <f>HYPERLINK("https://klasma.github.io/Logging_1497/kartor_geotiff/A 32951-2026 georefererad karta.tif", "A 32951-2026")</f>
        <v/>
      </c>
      <c r="AA10">
        <f>HYPERLINK("https://klasma.github.io/Logging_1497/klagomål/A 32951-2026 FSC-klagomål.docx", "A 32951-2026")</f>
        <v/>
      </c>
      <c r="AB10">
        <f>HYPERLINK("https://klasma.github.io/Logging_1497/klagomålsmail/A 32951-2026 FSC-klagomål mail.docx", "A 32951-2026")</f>
        <v/>
      </c>
      <c r="AC10">
        <f>HYPERLINK("https://klasma.github.io/Logging_1497/tillsyn/A 32951-2026 tillsynsbegäran.docx", "A 32951-2026")</f>
        <v/>
      </c>
      <c r="AD10">
        <f>HYPERLINK("https://klasma.github.io/Logging_1497/tillsynsmail/A 32951-2026 tillsynsbegäran mail.docx", "A 32951-2026")</f>
        <v/>
      </c>
    </row>
    <row r="11" ht="15" customHeight="1">
      <c r="A11" t="inlineStr">
        <is>
          <t>A 33003-2026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46244</v>
      </c>
      <c r="E11" s="1" t="n">
        <v>46323</v>
      </c>
      <c r="F11" t="inlineStr">
        <is>
          <t>VÄSTRA GÖTALANDS LÄN</t>
        </is>
      </c>
      <c r="G11" t="inlineStr">
        <is>
          <t>HJO</t>
        </is>
      </c>
      <c r="H11" t="inlineStr">
        <is>
          <t>Övriga Aktiebolag</t>
        </is>
      </c>
      <c r="I11" t="n">
        <v>4.4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s="2" t="inlineStr">
        <is>
          <t>Brun nållav</t>
        </is>
      </c>
      <c r="W11">
        <f>HYPERLINK("https://klasma.github.io/Logging_1497/artfynd/A 33003-2026 artfynd.xlsx", "A 33003-2026")</f>
        <v/>
      </c>
      <c r="X11">
        <f>HYPERLINK("https://klasma.github.io/Logging_1497/kartor/A 33003-2026 karta.png", "A 33003-2026")</f>
        <v/>
      </c>
      <c r="Y11">
        <f>HYPERLINK("https://klasma.github.io/Logging_1497/kartor_geotiff/A 33003-2026 georefererad karta.tif", "A 33003-2026")</f>
        <v/>
      </c>
      <c r="AA11">
        <f>HYPERLINK("https://klasma.github.io/Logging_1497/klagomål/A 33003-2026 FSC-klagomål.docx", "A 33003-2026")</f>
        <v/>
      </c>
      <c r="AB11">
        <f>HYPERLINK("https://klasma.github.io/Logging_1497/klagomålsmail/A 33003-2026 FSC-klagomål mail.docx", "A 33003-2026")</f>
        <v/>
      </c>
      <c r="AC11">
        <f>HYPERLINK("https://klasma.github.io/Logging_1497/tillsyn/A 33003-2026 tillsynsbegäran.docx", "A 33003-2026")</f>
        <v/>
      </c>
      <c r="AD11">
        <f>HYPERLINK("https://klasma.github.io/Logging_1497/tillsynsmail/A 33003-2026 tillsynsbegäran mail.docx", "A 33003-2026")</f>
        <v/>
      </c>
    </row>
    <row r="12" ht="15" customHeight="1">
      <c r="A12" t="inlineStr">
        <is>
          <t>A 34275-2026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46253</v>
      </c>
      <c r="E12" s="1" t="n">
        <v>46323</v>
      </c>
      <c r="F12" t="inlineStr">
        <is>
          <t>VÄSTRA GÖTALANDS LÄN</t>
        </is>
      </c>
      <c r="G12" t="inlineStr">
        <is>
          <t>HJO</t>
        </is>
      </c>
      <c r="I12" t="n">
        <v>1.9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s="2" t="inlineStr">
        <is>
          <t>Blåmossa</t>
        </is>
      </c>
      <c r="W12">
        <f>HYPERLINK("https://klasma.github.io/Logging_1497/artfynd/A 34275-2026 artfynd.xlsx", "A 34275-2026")</f>
        <v/>
      </c>
      <c r="X12">
        <f>HYPERLINK("https://klasma.github.io/Logging_1497/kartor/A 34275-2026 karta.png", "A 34275-2026")</f>
        <v/>
      </c>
      <c r="Y12">
        <f>HYPERLINK("https://klasma.github.io/Logging_1497/kartor_geotiff/A 34275-2026 georefererad karta.tif", "A 34275-2026")</f>
        <v/>
      </c>
      <c r="AA12">
        <f>HYPERLINK("https://klasma.github.io/Logging_1497/klagomål/A 34275-2026 FSC-klagomål.docx", "A 34275-2026")</f>
        <v/>
      </c>
      <c r="AB12">
        <f>HYPERLINK("https://klasma.github.io/Logging_1497/klagomålsmail/A 34275-2026 FSC-klagomål mail.docx", "A 34275-2026")</f>
        <v/>
      </c>
      <c r="AC12">
        <f>HYPERLINK("https://klasma.github.io/Logging_1497/tillsyn/A 34275-2026 tillsynsbegäran.docx", "A 34275-2026")</f>
        <v/>
      </c>
      <c r="AD12">
        <f>HYPERLINK("https://klasma.github.io/Logging_1497/tillsynsmail/A 34275-2026 tillsynsbegäran mail.docx", "A 34275-2026")</f>
        <v/>
      </c>
    </row>
    <row r="13" ht="15" customHeight="1">
      <c r="A13" t="inlineStr">
        <is>
          <t>A 34277-2026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46253</v>
      </c>
      <c r="E13" s="1" t="n">
        <v>46323</v>
      </c>
      <c r="F13" t="inlineStr">
        <is>
          <t>VÄSTRA GÖTALANDS LÄN</t>
        </is>
      </c>
      <c r="G13" t="inlineStr">
        <is>
          <t>HJO</t>
        </is>
      </c>
      <c r="I13" t="n">
        <v>0.8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s="2" t="inlineStr">
        <is>
          <t>Blåmossa</t>
        </is>
      </c>
      <c r="W13">
        <f>HYPERLINK("https://klasma.github.io/Logging_1497/artfynd/A 34277-2026 artfynd.xlsx", "A 34277-2026")</f>
        <v/>
      </c>
      <c r="X13">
        <f>HYPERLINK("https://klasma.github.io/Logging_1497/kartor/A 34277-2026 karta.png", "A 34277-2026")</f>
        <v/>
      </c>
      <c r="Y13">
        <f>HYPERLINK("https://klasma.github.io/Logging_1497/kartor_geotiff/A 34277-2026 georefererad karta.tif", "A 34277-2026")</f>
        <v/>
      </c>
      <c r="AA13">
        <f>HYPERLINK("https://klasma.github.io/Logging_1497/klagomål/A 34277-2026 FSC-klagomål.docx", "A 34277-2026")</f>
        <v/>
      </c>
      <c r="AB13">
        <f>HYPERLINK("https://klasma.github.io/Logging_1497/klagomålsmail/A 34277-2026 FSC-klagomål mail.docx", "A 34277-2026")</f>
        <v/>
      </c>
      <c r="AC13">
        <f>HYPERLINK("https://klasma.github.io/Logging_1497/tillsyn/A 34277-2026 tillsynsbegäran.docx", "A 34277-2026")</f>
        <v/>
      </c>
      <c r="AD13">
        <f>HYPERLINK("https://klasma.github.io/Logging_1497/tillsynsmail/A 34277-2026 tillsynsbegäran mail.docx", "A 34277-2026")</f>
        <v/>
      </c>
    </row>
    <row r="14" ht="15" customHeight="1">
      <c r="A14" t="inlineStr">
        <is>
          <t>S 4605-2024</t>
        </is>
      </c>
      <c r="B14" t="inlineStr">
        <is>
          <t>samrådsanmälan</t>
        </is>
      </c>
      <c r="C14" t="inlineStr">
        <is>
          <t>Skogsbilväg</t>
        </is>
      </c>
      <c r="D14" s="1" t="n">
        <v>45601</v>
      </c>
      <c r="E14" s="1" t="n">
        <v>46323</v>
      </c>
      <c r="F14" t="inlineStr">
        <is>
          <t>VÄSTRA GÖTALANDS LÄN</t>
        </is>
      </c>
      <c r="G14" t="inlineStr">
        <is>
          <t>HJO</t>
        </is>
      </c>
      <c r="H14" t="inlineStr">
        <is>
          <t>Kommuner</t>
        </is>
      </c>
      <c r="I14" t="n">
        <v>0.2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s="2" t="inlineStr">
        <is>
          <t>Blåsippa</t>
        </is>
      </c>
      <c r="W14">
        <f>HYPERLINK("https://klasma.github.io/Logging_1497/artfynd/S 4605-2024 artfynd.xlsx", "S 4605-2024")</f>
        <v/>
      </c>
      <c r="X14">
        <f>HYPERLINK("https://klasma.github.io/Logging_1497/kartor/S 4605-2024 karta.png", "S 4605-2024")</f>
        <v/>
      </c>
      <c r="Y14">
        <f>HYPERLINK("https://klasma.github.io/Logging_1497/kartor_geotiff/S 4605-2024 georefererad karta.tif", "S 4605-2024")</f>
        <v/>
      </c>
      <c r="AA14">
        <f>HYPERLINK("https://klasma.github.io/Logging_1497/klagomål/S 4605-2024 FSC-klagomål.docx", "S 4605-2024")</f>
        <v/>
      </c>
      <c r="AB14">
        <f>HYPERLINK("https://klasma.github.io/Logging_1497/klagomålsmail/S 4605-2024 FSC-klagomål mail.docx", "S 4605-2024")</f>
        <v/>
      </c>
      <c r="AC14">
        <f>HYPERLINK("https://klasma.github.io/Logging_1497/tillsyn/S 4605-2024 tillsynsbegäran.docx", "S 4605-2024")</f>
        <v/>
      </c>
      <c r="AD14">
        <f>HYPERLINK("https://klasma.github.io/Logging_1497/tillsynsmail/S 4605-2024 tillsynsbegäran mail.docx", "S 4605-2024")</f>
        <v/>
      </c>
    </row>
    <row r="15" ht="15" customHeight="1">
      <c r="A15" t="inlineStr">
        <is>
          <t>A 35602-2022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44799</v>
      </c>
      <c r="E15" s="1" t="n">
        <v>46323</v>
      </c>
      <c r="F15" t="inlineStr">
        <is>
          <t>VÄSTRA GÖTALANDS LÄN</t>
        </is>
      </c>
      <c r="G15" t="inlineStr">
        <is>
          <t>HJO</t>
        </is>
      </c>
      <c r="I15" t="n">
        <v>0.9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25205-2022</t>
        </is>
      </c>
      <c r="B16" t="inlineStr">
        <is>
          <t>avverkningsanmälan</t>
        </is>
      </c>
      <c r="C16" t="inlineStr">
        <is>
          <t>Avverkning för annat ändamål</t>
        </is>
      </c>
      <c r="D16" s="1" t="n">
        <v>44729</v>
      </c>
      <c r="E16" s="1" t="n">
        <v>46323</v>
      </c>
      <c r="F16" t="inlineStr">
        <is>
          <t>VÄSTRA GÖTALANDS LÄN</t>
        </is>
      </c>
      <c r="G16" t="inlineStr">
        <is>
          <t>HJO</t>
        </is>
      </c>
      <c r="H16" t="inlineStr">
        <is>
          <t>Kommuner</t>
        </is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67995-2021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44525</v>
      </c>
      <c r="E17" s="1" t="n">
        <v>46323</v>
      </c>
      <c r="F17" t="inlineStr">
        <is>
          <t>VÄSTRA GÖTALANDS LÄN</t>
        </is>
      </c>
      <c r="G17" t="inlineStr">
        <is>
          <t>HJO</t>
        </is>
      </c>
      <c r="I17" t="n">
        <v>0.8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9209-2022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44616</v>
      </c>
      <c r="E18" s="1" t="n">
        <v>46323</v>
      </c>
      <c r="F18" t="inlineStr">
        <is>
          <t>VÄSTRA GÖTALANDS LÄN</t>
        </is>
      </c>
      <c r="G18" t="inlineStr">
        <is>
          <t>HJO</t>
        </is>
      </c>
      <c r="I18" t="n">
        <v>1.2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19341-2022</t>
        </is>
      </c>
      <c r="B19" t="inlineStr">
        <is>
          <t>avverkningsanmälan</t>
        </is>
      </c>
      <c r="C19" t="inlineStr">
        <is>
          <t>Avverkning för annat ändamål</t>
        </is>
      </c>
      <c r="D19" s="1" t="n">
        <v>44692</v>
      </c>
      <c r="E19" s="1" t="n">
        <v>46323</v>
      </c>
      <c r="F19" t="inlineStr">
        <is>
          <t>VÄSTRA GÖTALANDS LÄN</t>
        </is>
      </c>
      <c r="G19" t="inlineStr">
        <is>
          <t>HJO</t>
        </is>
      </c>
      <c r="I19" t="n">
        <v>2.3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50559-2022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44866</v>
      </c>
      <c r="E20" s="1" t="n">
        <v>46323</v>
      </c>
      <c r="F20" t="inlineStr">
        <is>
          <t>VÄSTRA GÖTALANDS LÄN</t>
        </is>
      </c>
      <c r="G20" t="inlineStr">
        <is>
          <t>HJO</t>
        </is>
      </c>
      <c r="I20" t="n">
        <v>7.7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10337-2022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44623</v>
      </c>
      <c r="E21" s="1" t="n">
        <v>46323</v>
      </c>
      <c r="F21" t="inlineStr">
        <is>
          <t>VÄSTRA GÖTALANDS LÄN</t>
        </is>
      </c>
      <c r="G21" t="inlineStr">
        <is>
          <t>HJO</t>
        </is>
      </c>
      <c r="I21" t="n">
        <v>8.4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45980-2022</t>
        </is>
      </c>
      <c r="B22" t="inlineStr">
        <is>
          <t>avverkningsanmälan</t>
        </is>
      </c>
      <c r="C22" t="inlineStr">
        <is>
          <t>Avverkning för annat ändamål</t>
        </is>
      </c>
      <c r="D22" s="1" t="n">
        <v>44846</v>
      </c>
      <c r="E22" s="1" t="n">
        <v>46323</v>
      </c>
      <c r="F22" t="inlineStr">
        <is>
          <t>VÄSTRA GÖTALANDS LÄN</t>
        </is>
      </c>
      <c r="G22" t="inlineStr">
        <is>
          <t>HJO</t>
        </is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65329-2021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44515</v>
      </c>
      <c r="E23" s="1" t="n">
        <v>46323</v>
      </c>
      <c r="F23" t="inlineStr">
        <is>
          <t>VÄSTRA GÖTALANDS LÄN</t>
        </is>
      </c>
      <c r="G23" t="inlineStr">
        <is>
          <t>HJO</t>
        </is>
      </c>
      <c r="I23" t="n">
        <v>1.2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46998-2022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44852</v>
      </c>
      <c r="E24" s="1" t="n">
        <v>46323</v>
      </c>
      <c r="F24" t="inlineStr">
        <is>
          <t>VÄSTRA GÖTALANDS LÄN</t>
        </is>
      </c>
      <c r="G24" t="inlineStr">
        <is>
          <t>HJO</t>
        </is>
      </c>
      <c r="I24" t="n">
        <v>0.5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35216-2022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44797</v>
      </c>
      <c r="E25" s="1" t="n">
        <v>46323</v>
      </c>
      <c r="F25" t="inlineStr">
        <is>
          <t>VÄSTRA GÖTALANDS LÄN</t>
        </is>
      </c>
      <c r="G25" t="inlineStr">
        <is>
          <t>HJO</t>
        </is>
      </c>
      <c r="I25" t="n">
        <v>1.4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28512-2022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44748</v>
      </c>
      <c r="E26" s="1" t="n">
        <v>46323</v>
      </c>
      <c r="F26" t="inlineStr">
        <is>
          <t>VÄSTRA GÖTALANDS LÄN</t>
        </is>
      </c>
      <c r="G26" t="inlineStr">
        <is>
          <t>HJO</t>
        </is>
      </c>
      <c r="I26" t="n">
        <v>4.4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32158-2022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44781</v>
      </c>
      <c r="E27" s="1" t="n">
        <v>46323</v>
      </c>
      <c r="F27" t="inlineStr">
        <is>
          <t>VÄSTRA GÖTALANDS LÄN</t>
        </is>
      </c>
      <c r="G27" t="inlineStr">
        <is>
          <t>HJO</t>
        </is>
      </c>
      <c r="I27" t="n">
        <v>1.4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63257-2021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44508</v>
      </c>
      <c r="E28" s="1" t="n">
        <v>46323</v>
      </c>
      <c r="F28" t="inlineStr">
        <is>
          <t>VÄSTRA GÖTALANDS LÄN</t>
        </is>
      </c>
      <c r="G28" t="inlineStr">
        <is>
          <t>HJO</t>
        </is>
      </c>
      <c r="I28" t="n">
        <v>1.6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7786-2022</t>
        </is>
      </c>
      <c r="B29" t="inlineStr">
        <is>
          <t>avverkningsanmälan</t>
        </is>
      </c>
      <c r="C29" t="inlineStr">
        <is>
          <t>Avverkning för annat ändamål</t>
        </is>
      </c>
      <c r="D29" s="1" t="n">
        <v>44608</v>
      </c>
      <c r="E29" s="1" t="n">
        <v>46323</v>
      </c>
      <c r="F29" t="inlineStr">
        <is>
          <t>VÄSTRA GÖTALANDS LÄN</t>
        </is>
      </c>
      <c r="G29" t="inlineStr">
        <is>
          <t>HJO</t>
        </is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32814-2022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44784</v>
      </c>
      <c r="E30" s="1" t="n">
        <v>46323</v>
      </c>
      <c r="F30" t="inlineStr">
        <is>
          <t>VÄSTRA GÖTALANDS LÄN</t>
        </is>
      </c>
      <c r="G30" t="inlineStr">
        <is>
          <t>HJO</t>
        </is>
      </c>
      <c r="I30" t="n">
        <v>2.8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12726-2022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44641</v>
      </c>
      <c r="E31" s="1" t="n">
        <v>46323</v>
      </c>
      <c r="F31" t="inlineStr">
        <is>
          <t>VÄSTRA GÖTALANDS LÄN</t>
        </is>
      </c>
      <c r="G31" t="inlineStr">
        <is>
          <t>HJO</t>
        </is>
      </c>
      <c r="I31" t="n">
        <v>1.1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12544-2022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44638</v>
      </c>
      <c r="E32" s="1" t="n">
        <v>46323</v>
      </c>
      <c r="F32" t="inlineStr">
        <is>
          <t>VÄSTRA GÖTALANDS LÄN</t>
        </is>
      </c>
      <c r="G32" t="inlineStr">
        <is>
          <t>HJO</t>
        </is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9184-2022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44615</v>
      </c>
      <c r="E33" s="1" t="n">
        <v>46323</v>
      </c>
      <c r="F33" t="inlineStr">
        <is>
          <t>VÄSTRA GÖTALANDS LÄN</t>
        </is>
      </c>
      <c r="G33" t="inlineStr">
        <is>
          <t>HJO</t>
        </is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47656-2022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44854</v>
      </c>
      <c r="E34" s="1" t="n">
        <v>46323</v>
      </c>
      <c r="F34" t="inlineStr">
        <is>
          <t>VÄSTRA GÖTALANDS LÄN</t>
        </is>
      </c>
      <c r="G34" t="inlineStr">
        <is>
          <t>HJO</t>
        </is>
      </c>
      <c r="I34" t="n">
        <v>0.9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44310-2024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45573</v>
      </c>
      <c r="E35" s="1" t="n">
        <v>46323</v>
      </c>
      <c r="F35" t="inlineStr">
        <is>
          <t>VÄSTRA GÖTALANDS LÄN</t>
        </is>
      </c>
      <c r="G35" t="inlineStr">
        <is>
          <t>HJO</t>
        </is>
      </c>
      <c r="I35" t="n">
        <v>2.6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9210-2022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44616</v>
      </c>
      <c r="E36" s="1" t="n">
        <v>46323</v>
      </c>
      <c r="F36" t="inlineStr">
        <is>
          <t>VÄSTRA GÖTALANDS LÄN</t>
        </is>
      </c>
      <c r="G36" t="inlineStr">
        <is>
          <t>HJO</t>
        </is>
      </c>
      <c r="I36" t="n">
        <v>1.4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7231-2022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44606</v>
      </c>
      <c r="E37" s="1" t="n">
        <v>46323</v>
      </c>
      <c r="F37" t="inlineStr">
        <is>
          <t>VÄSTRA GÖTALANDS LÄN</t>
        </is>
      </c>
      <c r="G37" t="inlineStr">
        <is>
          <t>HJO</t>
        </is>
      </c>
      <c r="I37" t="n">
        <v>4.7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32219-2022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44781</v>
      </c>
      <c r="E38" s="1" t="n">
        <v>46323</v>
      </c>
      <c r="F38" t="inlineStr">
        <is>
          <t>VÄSTRA GÖTALANDS LÄN</t>
        </is>
      </c>
      <c r="G38" t="inlineStr">
        <is>
          <t>HJO</t>
        </is>
      </c>
      <c r="I38" t="n">
        <v>2.5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44684-2023</t>
        </is>
      </c>
      <c r="B39" t="inlineStr">
        <is>
          <t>avverkningsanmälan</t>
        </is>
      </c>
      <c r="C39" t="inlineStr">
        <is>
          <t>Avverkning för annat ändamål</t>
        </is>
      </c>
      <c r="D39" s="1" t="n">
        <v>45186</v>
      </c>
      <c r="E39" s="1" t="n">
        <v>46323</v>
      </c>
      <c r="F39" t="inlineStr">
        <is>
          <t>VÄSTRA GÖTALANDS LÄN</t>
        </is>
      </c>
      <c r="G39" t="inlineStr">
        <is>
          <t>HJO</t>
        </is>
      </c>
      <c r="I39" t="n">
        <v>0.7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22586-2022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44714</v>
      </c>
      <c r="E40" s="1" t="n">
        <v>46323</v>
      </c>
      <c r="F40" t="inlineStr">
        <is>
          <t>VÄSTRA GÖTALANDS LÄN</t>
        </is>
      </c>
      <c r="G40" t="inlineStr">
        <is>
          <t>HJO</t>
        </is>
      </c>
      <c r="I40" t="n">
        <v>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60318-2024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45643</v>
      </c>
      <c r="E41" s="1" t="n">
        <v>46323</v>
      </c>
      <c r="F41" t="inlineStr">
        <is>
          <t>VÄSTRA GÖTALANDS LÄN</t>
        </is>
      </c>
      <c r="G41" t="inlineStr">
        <is>
          <t>HJO</t>
        </is>
      </c>
      <c r="I41" t="n">
        <v>3.7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724-2024</t>
        </is>
      </c>
      <c r="B42" t="inlineStr">
        <is>
          <t>avverkningsanmälan</t>
        </is>
      </c>
      <c r="C42" t="inlineStr">
        <is>
          <t>Avverkning för annat ändamål</t>
        </is>
      </c>
      <c r="D42" s="1" t="n">
        <v>45300</v>
      </c>
      <c r="E42" s="1" t="n">
        <v>46323</v>
      </c>
      <c r="F42" t="inlineStr">
        <is>
          <t>VÄSTRA GÖTALANDS LÄN</t>
        </is>
      </c>
      <c r="G42" t="inlineStr">
        <is>
          <t>HJO</t>
        </is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9473-2023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44981</v>
      </c>
      <c r="E43" s="1" t="n">
        <v>46323</v>
      </c>
      <c r="F43" t="inlineStr">
        <is>
          <t>VÄSTRA GÖTALANDS LÄN</t>
        </is>
      </c>
      <c r="G43" t="inlineStr">
        <is>
          <t>HJO</t>
        </is>
      </c>
      <c r="I43" t="n">
        <v>2.1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30636-2023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45112</v>
      </c>
      <c r="E44" s="1" t="n">
        <v>46323</v>
      </c>
      <c r="F44" t="inlineStr">
        <is>
          <t>VÄSTRA GÖTALANDS LÄN</t>
        </is>
      </c>
      <c r="G44" t="inlineStr">
        <is>
          <t>HJO</t>
        </is>
      </c>
      <c r="H44" t="inlineStr">
        <is>
          <t>Kyrkan</t>
        </is>
      </c>
      <c r="I44" t="n">
        <v>0.8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39542-2023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45167</v>
      </c>
      <c r="E45" s="1" t="n">
        <v>46323</v>
      </c>
      <c r="F45" t="inlineStr">
        <is>
          <t>VÄSTRA GÖTALANDS LÄN</t>
        </is>
      </c>
      <c r="G45" t="inlineStr">
        <is>
          <t>HJO</t>
        </is>
      </c>
      <c r="I45" t="n">
        <v>0.6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6497-2025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45699</v>
      </c>
      <c r="E46" s="1" t="n">
        <v>46323</v>
      </c>
      <c r="F46" t="inlineStr">
        <is>
          <t>VÄSTRA GÖTALANDS LÄN</t>
        </is>
      </c>
      <c r="G46" t="inlineStr">
        <is>
          <t>HJO</t>
        </is>
      </c>
      <c r="I46" t="n">
        <v>2.6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37789-2022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44810</v>
      </c>
      <c r="E47" s="1" t="n">
        <v>46323</v>
      </c>
      <c r="F47" t="inlineStr">
        <is>
          <t>VÄSTRA GÖTALANDS LÄN</t>
        </is>
      </c>
      <c r="G47" t="inlineStr">
        <is>
          <t>HJO</t>
        </is>
      </c>
      <c r="I47" t="n">
        <v>2.6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50711-2024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45602</v>
      </c>
      <c r="E48" s="1" t="n">
        <v>46323</v>
      </c>
      <c r="F48" t="inlineStr">
        <is>
          <t>VÄSTRA GÖTALANDS LÄN</t>
        </is>
      </c>
      <c r="G48" t="inlineStr">
        <is>
          <t>HJO</t>
        </is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32518-2022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44782</v>
      </c>
      <c r="E49" s="1" t="n">
        <v>46323</v>
      </c>
      <c r="F49" t="inlineStr">
        <is>
          <t>VÄSTRA GÖTALANDS LÄN</t>
        </is>
      </c>
      <c r="G49" t="inlineStr">
        <is>
          <t>HJO</t>
        </is>
      </c>
      <c r="I49" t="n">
        <v>2.3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34859-2023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45142</v>
      </c>
      <c r="E50" s="1" t="n">
        <v>46323</v>
      </c>
      <c r="F50" t="inlineStr">
        <is>
          <t>VÄSTRA GÖTALANDS LÄN</t>
        </is>
      </c>
      <c r="G50" t="inlineStr">
        <is>
          <t>HJO</t>
        </is>
      </c>
      <c r="I50" t="n">
        <v>2.1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50152-2023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45215</v>
      </c>
      <c r="E51" s="1" t="n">
        <v>46323</v>
      </c>
      <c r="F51" t="inlineStr">
        <is>
          <t>VÄSTRA GÖTALANDS LÄN</t>
        </is>
      </c>
      <c r="G51" t="inlineStr">
        <is>
          <t>HJO</t>
        </is>
      </c>
      <c r="I51" t="n">
        <v>4.8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49025-2023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45209</v>
      </c>
      <c r="E52" s="1" t="n">
        <v>46323</v>
      </c>
      <c r="F52" t="inlineStr">
        <is>
          <t>VÄSTRA GÖTALANDS LÄN</t>
        </is>
      </c>
      <c r="G52" t="inlineStr">
        <is>
          <t>HJO</t>
        </is>
      </c>
      <c r="I52" t="n">
        <v>5.4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49564-2024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45596</v>
      </c>
      <c r="E53" s="1" t="n">
        <v>46323</v>
      </c>
      <c r="F53" t="inlineStr">
        <is>
          <t>VÄSTRA GÖTALANDS LÄN</t>
        </is>
      </c>
      <c r="G53" t="inlineStr">
        <is>
          <t>HJO</t>
        </is>
      </c>
      <c r="I53" t="n">
        <v>0.6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138-2022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44560</v>
      </c>
      <c r="E54" s="1" t="n">
        <v>46323</v>
      </c>
      <c r="F54" t="inlineStr">
        <is>
          <t>VÄSTRA GÖTALANDS LÄN</t>
        </is>
      </c>
      <c r="G54" t="inlineStr">
        <is>
          <t>HJO</t>
        </is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29798-2024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45485</v>
      </c>
      <c r="E55" s="1" t="n">
        <v>46323</v>
      </c>
      <c r="F55" t="inlineStr">
        <is>
          <t>VÄSTRA GÖTALANDS LÄN</t>
        </is>
      </c>
      <c r="G55" t="inlineStr">
        <is>
          <t>HJO</t>
        </is>
      </c>
      <c r="I55" t="n">
        <v>5.2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46787-2023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45198</v>
      </c>
      <c r="E56" s="1" t="n">
        <v>46323</v>
      </c>
      <c r="F56" t="inlineStr">
        <is>
          <t>VÄSTRA GÖTALANDS LÄN</t>
        </is>
      </c>
      <c r="G56" t="inlineStr">
        <is>
          <t>HJO</t>
        </is>
      </c>
      <c r="I56" t="n">
        <v>8.800000000000001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26248-2024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45468</v>
      </c>
      <c r="E57" s="1" t="n">
        <v>46323</v>
      </c>
      <c r="F57" t="inlineStr">
        <is>
          <t>VÄSTRA GÖTALANDS LÄN</t>
        </is>
      </c>
      <c r="G57" t="inlineStr">
        <is>
          <t>HJO</t>
        </is>
      </c>
      <c r="I57" t="n">
        <v>3.1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29596-2024</t>
        </is>
      </c>
      <c r="B58" t="inlineStr">
        <is>
          <t>avverkningsanmälan</t>
        </is>
      </c>
      <c r="C58" t="inlineStr">
        <is>
          <t>Avverkning för annat ändamål</t>
        </is>
      </c>
      <c r="D58" s="1" t="n">
        <v>45484</v>
      </c>
      <c r="E58" s="1" t="n">
        <v>46323</v>
      </c>
      <c r="F58" t="inlineStr">
        <is>
          <t>VÄSTRA GÖTALANDS LÄN</t>
        </is>
      </c>
      <c r="G58" t="inlineStr">
        <is>
          <t>HJO</t>
        </is>
      </c>
      <c r="I58" t="n">
        <v>0.8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47300-2022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44853</v>
      </c>
      <c r="E59" s="1" t="n">
        <v>46323</v>
      </c>
      <c r="F59" t="inlineStr">
        <is>
          <t>VÄSTRA GÖTALANDS LÄN</t>
        </is>
      </c>
      <c r="G59" t="inlineStr">
        <is>
          <t>HJO</t>
        </is>
      </c>
      <c r="I59" t="n">
        <v>2.4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61925-2023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45266</v>
      </c>
      <c r="E60" s="1" t="n">
        <v>46323</v>
      </c>
      <c r="F60" t="inlineStr">
        <is>
          <t>VÄSTRA GÖTALANDS LÄN</t>
        </is>
      </c>
      <c r="G60" t="inlineStr">
        <is>
          <t>HJO</t>
        </is>
      </c>
      <c r="I60" t="n">
        <v>2.2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2070-2023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44939</v>
      </c>
      <c r="E61" s="1" t="n">
        <v>46323</v>
      </c>
      <c r="F61" t="inlineStr">
        <is>
          <t>VÄSTRA GÖTALANDS LÄN</t>
        </is>
      </c>
      <c r="G61" t="inlineStr">
        <is>
          <t>HJO</t>
        </is>
      </c>
      <c r="I61" t="n">
        <v>11.6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2866-2023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44945</v>
      </c>
      <c r="E62" s="1" t="n">
        <v>46323</v>
      </c>
      <c r="F62" t="inlineStr">
        <is>
          <t>VÄSTRA GÖTALANDS LÄN</t>
        </is>
      </c>
      <c r="G62" t="inlineStr">
        <is>
          <t>HJO</t>
        </is>
      </c>
      <c r="I62" t="n">
        <v>0.6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16352-2023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45028</v>
      </c>
      <c r="E63" s="1" t="n">
        <v>46323</v>
      </c>
      <c r="F63" t="inlineStr">
        <is>
          <t>VÄSTRA GÖTALANDS LÄN</t>
        </is>
      </c>
      <c r="G63" t="inlineStr">
        <is>
          <t>HJO</t>
        </is>
      </c>
      <c r="I63" t="n">
        <v>3.1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45742-2025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45923</v>
      </c>
      <c r="E64" s="1" t="n">
        <v>46323</v>
      </c>
      <c r="F64" t="inlineStr">
        <is>
          <t>VÄSTRA GÖTALANDS LÄN</t>
        </is>
      </c>
      <c r="G64" t="inlineStr">
        <is>
          <t>HJO</t>
        </is>
      </c>
      <c r="I64" t="n">
        <v>0.6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39537-2023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45167</v>
      </c>
      <c r="E65" s="1" t="n">
        <v>46323</v>
      </c>
      <c r="F65" t="inlineStr">
        <is>
          <t>VÄSTRA GÖTALANDS LÄN</t>
        </is>
      </c>
      <c r="G65" t="inlineStr">
        <is>
          <t>HJO</t>
        </is>
      </c>
      <c r="I65" t="n">
        <v>0.6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39540-2023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45167</v>
      </c>
      <c r="E66" s="1" t="n">
        <v>46323</v>
      </c>
      <c r="F66" t="inlineStr">
        <is>
          <t>VÄSTRA GÖTALANDS LÄN</t>
        </is>
      </c>
      <c r="G66" t="inlineStr">
        <is>
          <t>HJO</t>
        </is>
      </c>
      <c r="I66" t="n">
        <v>1.3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45736-2025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45923</v>
      </c>
      <c r="E67" s="1" t="n">
        <v>46323</v>
      </c>
      <c r="F67" t="inlineStr">
        <is>
          <t>VÄSTRA GÖTALANDS LÄN</t>
        </is>
      </c>
      <c r="G67" t="inlineStr">
        <is>
          <t>HJO</t>
        </is>
      </c>
      <c r="I67" t="n">
        <v>1.4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39907-2024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45553</v>
      </c>
      <c r="E68" s="1" t="n">
        <v>46323</v>
      </c>
      <c r="F68" t="inlineStr">
        <is>
          <t>VÄSTRA GÖTALANDS LÄN</t>
        </is>
      </c>
      <c r="G68" t="inlineStr">
        <is>
          <t>HJO</t>
        </is>
      </c>
      <c r="I68" t="n">
        <v>6.5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62233-2022</t>
        </is>
      </c>
      <c r="B69" t="inlineStr">
        <is>
          <t>avverkningsanmälan</t>
        </is>
      </c>
      <c r="C69" t="inlineStr">
        <is>
          <t>Avverkning för annat ändamål</t>
        </is>
      </c>
      <c r="D69" s="1" t="n">
        <v>44922</v>
      </c>
      <c r="E69" s="1" t="n">
        <v>46323</v>
      </c>
      <c r="F69" t="inlineStr">
        <is>
          <t>VÄSTRA GÖTALANDS LÄN</t>
        </is>
      </c>
      <c r="G69" t="inlineStr">
        <is>
          <t>HJO</t>
        </is>
      </c>
      <c r="I69" t="n">
        <v>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49278-2025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45938</v>
      </c>
      <c r="E70" s="1" t="n">
        <v>46323</v>
      </c>
      <c r="F70" t="inlineStr">
        <is>
          <t>VÄSTRA GÖTALANDS LÄN</t>
        </is>
      </c>
      <c r="G70" t="inlineStr">
        <is>
          <t>HJO</t>
        </is>
      </c>
      <c r="I70" t="n">
        <v>4.8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10670-2024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45369</v>
      </c>
      <c r="E71" s="1" t="n">
        <v>46323</v>
      </c>
      <c r="F71" t="inlineStr">
        <is>
          <t>VÄSTRA GÖTALANDS LÄN</t>
        </is>
      </c>
      <c r="G71" t="inlineStr">
        <is>
          <t>HJO</t>
        </is>
      </c>
      <c r="I71" t="n">
        <v>1.1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2060-2023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44939</v>
      </c>
      <c r="E72" s="1" t="n">
        <v>46323</v>
      </c>
      <c r="F72" t="inlineStr">
        <is>
          <t>VÄSTRA GÖTALANDS LÄN</t>
        </is>
      </c>
      <c r="G72" t="inlineStr">
        <is>
          <t>HJO</t>
        </is>
      </c>
      <c r="I72" t="n">
        <v>2.6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50093-2025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45943</v>
      </c>
      <c r="E73" s="1" t="n">
        <v>46323</v>
      </c>
      <c r="F73" t="inlineStr">
        <is>
          <t>VÄSTRA GÖTALANDS LÄN</t>
        </is>
      </c>
      <c r="G73" t="inlineStr">
        <is>
          <t>HJO</t>
        </is>
      </c>
      <c r="I73" t="n">
        <v>4.3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50091-2025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45943</v>
      </c>
      <c r="E74" s="1" t="n">
        <v>46323</v>
      </c>
      <c r="F74" t="inlineStr">
        <is>
          <t>VÄSTRA GÖTALANDS LÄN</t>
        </is>
      </c>
      <c r="G74" t="inlineStr">
        <is>
          <t>HJO</t>
        </is>
      </c>
      <c r="I74" t="n">
        <v>4.1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1108-2023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44935</v>
      </c>
      <c r="E75" s="1" t="n">
        <v>46323</v>
      </c>
      <c r="F75" t="inlineStr">
        <is>
          <t>VÄSTRA GÖTALANDS LÄN</t>
        </is>
      </c>
      <c r="G75" t="inlineStr">
        <is>
          <t>HJO</t>
        </is>
      </c>
      <c r="I75" t="n">
        <v>1.8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51362-2025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45950</v>
      </c>
      <c r="E76" s="1" t="n">
        <v>46323</v>
      </c>
      <c r="F76" t="inlineStr">
        <is>
          <t>VÄSTRA GÖTALANDS LÄN</t>
        </is>
      </c>
      <c r="G76" t="inlineStr">
        <is>
          <t>HJO</t>
        </is>
      </c>
      <c r="I76" t="n">
        <v>0.6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13694-2024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45390</v>
      </c>
      <c r="E77" s="1" t="n">
        <v>46323</v>
      </c>
      <c r="F77" t="inlineStr">
        <is>
          <t>VÄSTRA GÖTALANDS LÄN</t>
        </is>
      </c>
      <c r="G77" t="inlineStr">
        <is>
          <t>HJO</t>
        </is>
      </c>
      <c r="I77" t="n">
        <v>2.2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4783-2023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44957</v>
      </c>
      <c r="E78" s="1" t="n">
        <v>46323</v>
      </c>
      <c r="F78" t="inlineStr">
        <is>
          <t>VÄSTRA GÖTALANDS LÄN</t>
        </is>
      </c>
      <c r="G78" t="inlineStr">
        <is>
          <t>HJO</t>
        </is>
      </c>
      <c r="I78" t="n">
        <v>0.5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26792-2024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45470</v>
      </c>
      <c r="E79" s="1" t="n">
        <v>46323</v>
      </c>
      <c r="F79" t="inlineStr">
        <is>
          <t>VÄSTRA GÖTALANDS LÄN</t>
        </is>
      </c>
      <c r="G79" t="inlineStr">
        <is>
          <t>HJO</t>
        </is>
      </c>
      <c r="H79" t="inlineStr">
        <is>
          <t>Kyrkan</t>
        </is>
      </c>
      <c r="I79" t="n">
        <v>7.1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38186-2023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45161</v>
      </c>
      <c r="E80" s="1" t="n">
        <v>46323</v>
      </c>
      <c r="F80" t="inlineStr">
        <is>
          <t>VÄSTRA GÖTALANDS LÄN</t>
        </is>
      </c>
      <c r="G80" t="inlineStr">
        <is>
          <t>HJO</t>
        </is>
      </c>
      <c r="I80" t="n">
        <v>4.9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46520-2023</t>
        </is>
      </c>
      <c r="B81" t="inlineStr">
        <is>
          <t>avverkningsanmälan</t>
        </is>
      </c>
      <c r="C81" t="inlineStr">
        <is>
          <t>Avverkning för annat ändamål</t>
        </is>
      </c>
      <c r="D81" s="1" t="n">
        <v>45197</v>
      </c>
      <c r="E81" s="1" t="n">
        <v>46323</v>
      </c>
      <c r="F81" t="inlineStr">
        <is>
          <t>VÄSTRA GÖTALANDS LÄN</t>
        </is>
      </c>
      <c r="G81" t="inlineStr">
        <is>
          <t>HJO</t>
        </is>
      </c>
      <c r="I81" t="n">
        <v>1.9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9177-2022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44615</v>
      </c>
      <c r="E82" s="1" t="n">
        <v>46323</v>
      </c>
      <c r="F82" t="inlineStr">
        <is>
          <t>VÄSTRA GÖTALANDS LÄN</t>
        </is>
      </c>
      <c r="G82" t="inlineStr">
        <is>
          <t>HJO</t>
        </is>
      </c>
      <c r="I82" t="n">
        <v>1.2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46762-2023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45198</v>
      </c>
      <c r="E83" s="1" t="n">
        <v>46323</v>
      </c>
      <c r="F83" t="inlineStr">
        <is>
          <t>VÄSTRA GÖTALANDS LÄN</t>
        </is>
      </c>
      <c r="G83" t="inlineStr">
        <is>
          <t>HJO</t>
        </is>
      </c>
      <c r="I83" t="n">
        <v>0.9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12554-2023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45000</v>
      </c>
      <c r="E84" s="1" t="n">
        <v>46323</v>
      </c>
      <c r="F84" t="inlineStr">
        <is>
          <t>VÄSTRA GÖTALANDS LÄN</t>
        </is>
      </c>
      <c r="G84" t="inlineStr">
        <is>
          <t>HJO</t>
        </is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53839-2024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45615</v>
      </c>
      <c r="E85" s="1" t="n">
        <v>46323</v>
      </c>
      <c r="F85" t="inlineStr">
        <is>
          <t>VÄSTRA GÖTALANDS LÄN</t>
        </is>
      </c>
      <c r="G85" t="inlineStr">
        <is>
          <t>HJO</t>
        </is>
      </c>
      <c r="I85" t="n">
        <v>0.6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22050-2023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45069</v>
      </c>
      <c r="E86" s="1" t="n">
        <v>46323</v>
      </c>
      <c r="F86" t="inlineStr">
        <is>
          <t>VÄSTRA GÖTALANDS LÄN</t>
        </is>
      </c>
      <c r="G86" t="inlineStr">
        <is>
          <t>HJO</t>
        </is>
      </c>
      <c r="H86" t="inlineStr">
        <is>
          <t>Sveaskog</t>
        </is>
      </c>
      <c r="I86" t="n">
        <v>2.6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6369-2025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45699</v>
      </c>
      <c r="E87" s="1" t="n">
        <v>46323</v>
      </c>
      <c r="F87" t="inlineStr">
        <is>
          <t>VÄSTRA GÖTALANDS LÄN</t>
        </is>
      </c>
      <c r="G87" t="inlineStr">
        <is>
          <t>HJO</t>
        </is>
      </c>
      <c r="I87" t="n">
        <v>2.3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36738-2024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45538</v>
      </c>
      <c r="E88" s="1" t="n">
        <v>46323</v>
      </c>
      <c r="F88" t="inlineStr">
        <is>
          <t>VÄSTRA GÖTALANDS LÄN</t>
        </is>
      </c>
      <c r="G88" t="inlineStr">
        <is>
          <t>HJO</t>
        </is>
      </c>
      <c r="I88" t="n">
        <v>0.9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40629-2024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45557</v>
      </c>
      <c r="E89" s="1" t="n">
        <v>46323</v>
      </c>
      <c r="F89" t="inlineStr">
        <is>
          <t>VÄSTRA GÖTALANDS LÄN</t>
        </is>
      </c>
      <c r="G89" t="inlineStr">
        <is>
          <t>HJO</t>
        </is>
      </c>
      <c r="I89" t="n">
        <v>11.5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7722-2024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45349</v>
      </c>
      <c r="E90" s="1" t="n">
        <v>46323</v>
      </c>
      <c r="F90" t="inlineStr">
        <is>
          <t>VÄSTRA GÖTALANDS LÄN</t>
        </is>
      </c>
      <c r="G90" t="inlineStr">
        <is>
          <t>HJO</t>
        </is>
      </c>
      <c r="I90" t="n">
        <v>1.6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60071-2025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45993</v>
      </c>
      <c r="E91" s="1" t="n">
        <v>46323</v>
      </c>
      <c r="F91" t="inlineStr">
        <is>
          <t>VÄSTRA GÖTALANDS LÄN</t>
        </is>
      </c>
      <c r="G91" t="inlineStr">
        <is>
          <t>HJO</t>
        </is>
      </c>
      <c r="I91" t="n">
        <v>0.5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19810-2025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45771</v>
      </c>
      <c r="E92" s="1" t="n">
        <v>46323</v>
      </c>
      <c r="F92" t="inlineStr">
        <is>
          <t>VÄSTRA GÖTALANDS LÄN</t>
        </is>
      </c>
      <c r="G92" t="inlineStr">
        <is>
          <t>HJO</t>
        </is>
      </c>
      <c r="I92" t="n">
        <v>0.4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63802-2025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46019</v>
      </c>
      <c r="E93" s="1" t="n">
        <v>46323</v>
      </c>
      <c r="F93" t="inlineStr">
        <is>
          <t>VÄSTRA GÖTALANDS LÄN</t>
        </is>
      </c>
      <c r="G93" t="inlineStr">
        <is>
          <t>HJO</t>
        </is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29891-2026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46205</v>
      </c>
      <c r="E94" s="1" t="n">
        <v>46323</v>
      </c>
      <c r="F94" t="inlineStr">
        <is>
          <t>VÄSTRA GÖTALANDS LÄN</t>
        </is>
      </c>
      <c r="G94" t="inlineStr">
        <is>
          <t>HJO</t>
        </is>
      </c>
      <c r="I94" t="n">
        <v>1.3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29905-2026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46205</v>
      </c>
      <c r="E95" s="1" t="n">
        <v>46323</v>
      </c>
      <c r="F95" t="inlineStr">
        <is>
          <t>VÄSTRA GÖTALANDS LÄN</t>
        </is>
      </c>
      <c r="G95" t="inlineStr">
        <is>
          <t>HJO</t>
        </is>
      </c>
      <c r="I95" t="n">
        <v>1.4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29953-2026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46205</v>
      </c>
      <c r="E96" s="1" t="n">
        <v>46323</v>
      </c>
      <c r="F96" t="inlineStr">
        <is>
          <t>VÄSTRA GÖTALANDS LÄN</t>
        </is>
      </c>
      <c r="G96" t="inlineStr">
        <is>
          <t>HJO</t>
        </is>
      </c>
      <c r="I96" t="n">
        <v>1.4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54902-2023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45229</v>
      </c>
      <c r="E97" s="1" t="n">
        <v>46323</v>
      </c>
      <c r="F97" t="inlineStr">
        <is>
          <t>VÄSTRA GÖTALANDS LÄN</t>
        </is>
      </c>
      <c r="G97" t="inlineStr">
        <is>
          <t>HJO</t>
        </is>
      </c>
      <c r="I97" t="n">
        <v>0.9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8145-2024</t>
        </is>
      </c>
      <c r="B98" t="inlineStr">
        <is>
          <t>avverkningsanmälan</t>
        </is>
      </c>
      <c r="C98" t="inlineStr">
        <is>
          <t>Avverkning för annat ändamål</t>
        </is>
      </c>
      <c r="D98" s="1" t="n">
        <v>45351</v>
      </c>
      <c r="E98" s="1" t="n">
        <v>46323</v>
      </c>
      <c r="F98" t="inlineStr">
        <is>
          <t>VÄSTRA GÖTALANDS LÄN</t>
        </is>
      </c>
      <c r="G98" t="inlineStr">
        <is>
          <t>HJO</t>
        </is>
      </c>
      <c r="I98" t="n">
        <v>7.3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3569-2026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46042</v>
      </c>
      <c r="E99" s="1" t="n">
        <v>46323</v>
      </c>
      <c r="F99" t="inlineStr">
        <is>
          <t>VÄSTRA GÖTALANDS LÄN</t>
        </is>
      </c>
      <c r="G99" t="inlineStr">
        <is>
          <t>HJO</t>
        </is>
      </c>
      <c r="I99" t="n">
        <v>2.2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60414-2024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45643</v>
      </c>
      <c r="E100" s="1" t="n">
        <v>46323</v>
      </c>
      <c r="F100" t="inlineStr">
        <is>
          <t>VÄSTRA GÖTALANDS LÄN</t>
        </is>
      </c>
      <c r="G100" t="inlineStr">
        <is>
          <t>HJO</t>
        </is>
      </c>
      <c r="I100" t="n">
        <v>3.1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1094-2025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45665</v>
      </c>
      <c r="E101" s="1" t="n">
        <v>46323</v>
      </c>
      <c r="F101" t="inlineStr">
        <is>
          <t>VÄSTRA GÖTALANDS LÄN</t>
        </is>
      </c>
      <c r="G101" t="inlineStr">
        <is>
          <t>HJO</t>
        </is>
      </c>
      <c r="I101" t="n">
        <v>0.8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59988-2024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45642</v>
      </c>
      <c r="E102" s="1" t="n">
        <v>46323</v>
      </c>
      <c r="F102" t="inlineStr">
        <is>
          <t>VÄSTRA GÖTALANDS LÄN</t>
        </is>
      </c>
      <c r="G102" t="inlineStr">
        <is>
          <t>HJO</t>
        </is>
      </c>
      <c r="I102" t="n">
        <v>2.8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53846-2024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45615</v>
      </c>
      <c r="E103" s="1" t="n">
        <v>46323</v>
      </c>
      <c r="F103" t="inlineStr">
        <is>
          <t>VÄSTRA GÖTALANDS LÄN</t>
        </is>
      </c>
      <c r="G103" t="inlineStr">
        <is>
          <t>HJO</t>
        </is>
      </c>
      <c r="I103" t="n">
        <v>0.5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6686-2026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46056</v>
      </c>
      <c r="E104" s="1" t="n">
        <v>46323</v>
      </c>
      <c r="F104" t="inlineStr">
        <is>
          <t>VÄSTRA GÖTALANDS LÄN</t>
        </is>
      </c>
      <c r="G104" t="inlineStr">
        <is>
          <t>HJO</t>
        </is>
      </c>
      <c r="I104" t="n">
        <v>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24388-2025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45797</v>
      </c>
      <c r="E105" s="1" t="n">
        <v>46323</v>
      </c>
      <c r="F105" t="inlineStr">
        <is>
          <t>VÄSTRA GÖTALANDS LÄN</t>
        </is>
      </c>
      <c r="G105" t="inlineStr">
        <is>
          <t>HJO</t>
        </is>
      </c>
      <c r="I105" t="n">
        <v>1.6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6705-2026</t>
        </is>
      </c>
      <c r="B106" t="inlineStr">
        <is>
          <t>avverkningsanmälan</t>
        </is>
      </c>
      <c r="C106" t="inlineStr">
        <is>
          <t>Avverkning för annat ändamål</t>
        </is>
      </c>
      <c r="D106" s="1" t="n">
        <v>46056</v>
      </c>
      <c r="E106" s="1" t="n">
        <v>46323</v>
      </c>
      <c r="F106" t="inlineStr">
        <is>
          <t>VÄSTRA GÖTALANDS LÄN</t>
        </is>
      </c>
      <c r="G106" t="inlineStr">
        <is>
          <t>HJO</t>
        </is>
      </c>
      <c r="I106" t="n">
        <v>6.3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46790-2023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45198</v>
      </c>
      <c r="E107" s="1" t="n">
        <v>46323</v>
      </c>
      <c r="F107" t="inlineStr">
        <is>
          <t>VÄSTRA GÖTALANDS LÄN</t>
        </is>
      </c>
      <c r="G107" t="inlineStr">
        <is>
          <t>HJO</t>
        </is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13703-2024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45390</v>
      </c>
      <c r="E108" s="1" t="n">
        <v>46323</v>
      </c>
      <c r="F108" t="inlineStr">
        <is>
          <t>VÄSTRA GÖTALANDS LÄN</t>
        </is>
      </c>
      <c r="G108" t="inlineStr">
        <is>
          <t>HJO</t>
        </is>
      </c>
      <c r="I108" t="n">
        <v>1.6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60413-2024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45643</v>
      </c>
      <c r="E109" s="1" t="n">
        <v>46323</v>
      </c>
      <c r="F109" t="inlineStr">
        <is>
          <t>VÄSTRA GÖTALANDS LÄN</t>
        </is>
      </c>
      <c r="G109" t="inlineStr">
        <is>
          <t>HJO</t>
        </is>
      </c>
      <c r="I109" t="n">
        <v>2.9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38892-2026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46286</v>
      </c>
      <c r="E110" s="1" t="n">
        <v>46323</v>
      </c>
      <c r="F110" t="inlineStr">
        <is>
          <t>VÄSTRA GÖTALANDS LÄN</t>
        </is>
      </c>
      <c r="G110" t="inlineStr">
        <is>
          <t>HJO</t>
        </is>
      </c>
      <c r="H110" t="inlineStr">
        <is>
          <t>Övriga Aktiebolag</t>
        </is>
      </c>
      <c r="I110" t="n">
        <v>12.7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55119-2023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45237</v>
      </c>
      <c r="E111" s="1" t="n">
        <v>46323</v>
      </c>
      <c r="F111" t="inlineStr">
        <is>
          <t>VÄSTRA GÖTALANDS LÄN</t>
        </is>
      </c>
      <c r="G111" t="inlineStr">
        <is>
          <t>HJO</t>
        </is>
      </c>
      <c r="I111" t="n">
        <v>0.6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32914-2026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46244</v>
      </c>
      <c r="E112" s="1" t="n">
        <v>46323</v>
      </c>
      <c r="F112" t="inlineStr">
        <is>
          <t>VÄSTRA GÖTALANDS LÄN</t>
        </is>
      </c>
      <c r="G112" t="inlineStr">
        <is>
          <t>HJO</t>
        </is>
      </c>
      <c r="H112" t="inlineStr">
        <is>
          <t>Övriga Aktiebolag</t>
        </is>
      </c>
      <c r="I112" t="n">
        <v>8.5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32921-2026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46244</v>
      </c>
      <c r="E113" s="1" t="n">
        <v>46323</v>
      </c>
      <c r="F113" t="inlineStr">
        <is>
          <t>VÄSTRA GÖTALANDS LÄN</t>
        </is>
      </c>
      <c r="G113" t="inlineStr">
        <is>
          <t>HJO</t>
        </is>
      </c>
      <c r="H113" t="inlineStr">
        <is>
          <t>Övriga Aktiebolag</t>
        </is>
      </c>
      <c r="I113" t="n">
        <v>1.2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32919-2026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46244</v>
      </c>
      <c r="E114" s="1" t="n">
        <v>46323</v>
      </c>
      <c r="F114" t="inlineStr">
        <is>
          <t>VÄSTRA GÖTALANDS LÄN</t>
        </is>
      </c>
      <c r="G114" t="inlineStr">
        <is>
          <t>HJO</t>
        </is>
      </c>
      <c r="H114" t="inlineStr">
        <is>
          <t>Övriga Aktiebolag</t>
        </is>
      </c>
      <c r="I114" t="n">
        <v>3.8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39246-2026</t>
        </is>
      </c>
      <c r="B115" t="inlineStr">
        <is>
          <t>avverkningsanmälan</t>
        </is>
      </c>
      <c r="C115" t="inlineStr">
        <is>
          <t>Avverkning för annat ändamål</t>
        </is>
      </c>
      <c r="D115" s="1" t="n">
        <v>46288</v>
      </c>
      <c r="E115" s="1" t="n">
        <v>46323</v>
      </c>
      <c r="F115" t="inlineStr">
        <is>
          <t>VÄSTRA GÖTALANDS LÄN</t>
        </is>
      </c>
      <c r="G115" t="inlineStr">
        <is>
          <t>HJO</t>
        </is>
      </c>
      <c r="I115" t="n">
        <v>3.2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39248-2026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46288</v>
      </c>
      <c r="E116" s="1" t="n">
        <v>46323</v>
      </c>
      <c r="F116" t="inlineStr">
        <is>
          <t>VÄSTRA GÖTALANDS LÄN</t>
        </is>
      </c>
      <c r="G116" t="inlineStr">
        <is>
          <t>HJO</t>
        </is>
      </c>
      <c r="I116" t="n">
        <v>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12165-2026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46086</v>
      </c>
      <c r="E117" s="1" t="n">
        <v>46323</v>
      </c>
      <c r="F117" t="inlineStr">
        <is>
          <t>VÄSTRA GÖTALANDS LÄN</t>
        </is>
      </c>
      <c r="G117" t="inlineStr">
        <is>
          <t>HJO</t>
        </is>
      </c>
      <c r="I117" t="n">
        <v>0.5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58597-2022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44894</v>
      </c>
      <c r="E118" s="1" t="n">
        <v>46323</v>
      </c>
      <c r="F118" t="inlineStr">
        <is>
          <t>VÄSTRA GÖTALANDS LÄN</t>
        </is>
      </c>
      <c r="G118" t="inlineStr">
        <is>
          <t>HJO</t>
        </is>
      </c>
      <c r="I118" t="n">
        <v>0.8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26229-2025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45805</v>
      </c>
      <c r="E119" s="1" t="n">
        <v>46323</v>
      </c>
      <c r="F119" t="inlineStr">
        <is>
          <t>VÄSTRA GÖTALANDS LÄN</t>
        </is>
      </c>
      <c r="G119" t="inlineStr">
        <is>
          <t>HJO</t>
        </is>
      </c>
      <c r="I119" t="n">
        <v>1.6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26238-2025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45805</v>
      </c>
      <c r="E120" s="1" t="n">
        <v>46323</v>
      </c>
      <c r="F120" t="inlineStr">
        <is>
          <t>VÄSTRA GÖTALANDS LÄN</t>
        </is>
      </c>
      <c r="G120" t="inlineStr">
        <is>
          <t>HJO</t>
        </is>
      </c>
      <c r="I120" t="n">
        <v>4.6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20024-2022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44697</v>
      </c>
      <c r="E121" s="1" t="n">
        <v>46323</v>
      </c>
      <c r="F121" t="inlineStr">
        <is>
          <t>VÄSTRA GÖTALANDS LÄN</t>
        </is>
      </c>
      <c r="G121" t="inlineStr">
        <is>
          <t>HJO</t>
        </is>
      </c>
      <c r="I121" t="n">
        <v>1.4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15019-2026</t>
        </is>
      </c>
      <c r="B122" t="inlineStr">
        <is>
          <t>avverkningsanmälan</t>
        </is>
      </c>
      <c r="C122" t="inlineStr">
        <is>
          <t>Avverkning för annat ändamål</t>
        </is>
      </c>
      <c r="D122" s="1" t="n">
        <v>46104</v>
      </c>
      <c r="E122" s="1" t="n">
        <v>46323</v>
      </c>
      <c r="F122" t="inlineStr">
        <is>
          <t>VÄSTRA GÖTALANDS LÄN</t>
        </is>
      </c>
      <c r="G122" t="inlineStr">
        <is>
          <t>HJO</t>
        </is>
      </c>
      <c r="I122" t="n">
        <v>2.5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5773-2023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44963</v>
      </c>
      <c r="E123" s="1" t="n">
        <v>46323</v>
      </c>
      <c r="F123" t="inlineStr">
        <is>
          <t>VÄSTRA GÖTALANDS LÄN</t>
        </is>
      </c>
      <c r="G123" t="inlineStr">
        <is>
          <t>HJO</t>
        </is>
      </c>
      <c r="I123" t="n">
        <v>1.5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33950-2026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46252</v>
      </c>
      <c r="E124" s="1" t="n">
        <v>46323</v>
      </c>
      <c r="F124" t="inlineStr">
        <is>
          <t>VÄSTRA GÖTALANDS LÄN</t>
        </is>
      </c>
      <c r="G124" t="inlineStr">
        <is>
          <t>HJO</t>
        </is>
      </c>
      <c r="I124" t="n">
        <v>0.9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4243-2025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45685</v>
      </c>
      <c r="E125" s="1" t="n">
        <v>46323</v>
      </c>
      <c r="F125" t="inlineStr">
        <is>
          <t>VÄSTRA GÖTALANDS LÄN</t>
        </is>
      </c>
      <c r="G125" t="inlineStr">
        <is>
          <t>HJO</t>
        </is>
      </c>
      <c r="I125" t="n">
        <v>1.5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32961-2026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46244</v>
      </c>
      <c r="E126" s="1" t="n">
        <v>46323</v>
      </c>
      <c r="F126" t="inlineStr">
        <is>
          <t>VÄSTRA GÖTALANDS LÄN</t>
        </is>
      </c>
      <c r="G126" t="inlineStr">
        <is>
          <t>HJO</t>
        </is>
      </c>
      <c r="H126" t="inlineStr">
        <is>
          <t>Övriga Aktiebolag</t>
        </is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27989-2022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44745</v>
      </c>
      <c r="E127" s="1" t="n">
        <v>46323</v>
      </c>
      <c r="F127" t="inlineStr">
        <is>
          <t>VÄSTRA GÖTALANDS LÄN</t>
        </is>
      </c>
      <c r="G127" t="inlineStr">
        <is>
          <t>HJO</t>
        </is>
      </c>
      <c r="I127" t="n">
        <v>2.5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63239-2021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44508</v>
      </c>
      <c r="E128" s="1" t="n">
        <v>46323</v>
      </c>
      <c r="F128" t="inlineStr">
        <is>
          <t>VÄSTRA GÖTALANDS LÄN</t>
        </is>
      </c>
      <c r="G128" t="inlineStr">
        <is>
          <t>HJO</t>
        </is>
      </c>
      <c r="I128" t="n">
        <v>2.3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32973-2026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46244</v>
      </c>
      <c r="E129" s="1" t="n">
        <v>46323</v>
      </c>
      <c r="F129" t="inlineStr">
        <is>
          <t>VÄSTRA GÖTALANDS LÄN</t>
        </is>
      </c>
      <c r="G129" t="inlineStr">
        <is>
          <t>HJO</t>
        </is>
      </c>
      <c r="H129" t="inlineStr">
        <is>
          <t>Övriga Aktiebolag</t>
        </is>
      </c>
      <c r="I129" t="n">
        <v>3.3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4272-2023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44951</v>
      </c>
      <c r="E130" s="1" t="n">
        <v>46323</v>
      </c>
      <c r="F130" t="inlineStr">
        <is>
          <t>VÄSTRA GÖTALANDS LÄN</t>
        </is>
      </c>
      <c r="G130" t="inlineStr">
        <is>
          <t>HJO</t>
        </is>
      </c>
      <c r="I130" t="n">
        <v>1.8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41239-2026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46300</v>
      </c>
      <c r="E131" s="1" t="n">
        <v>46323</v>
      </c>
      <c r="F131" t="inlineStr">
        <is>
          <t>VÄSTRA GÖTALANDS LÄN</t>
        </is>
      </c>
      <c r="G131" t="inlineStr">
        <is>
          <t>HJO</t>
        </is>
      </c>
      <c r="I131" t="n">
        <v>3.4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39330-2026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46288</v>
      </c>
      <c r="E132" s="1" t="n">
        <v>46323</v>
      </c>
      <c r="F132" t="inlineStr">
        <is>
          <t>VÄSTRA GÖTALANDS LÄN</t>
        </is>
      </c>
      <c r="G132" t="inlineStr">
        <is>
          <t>HJO</t>
        </is>
      </c>
      <c r="H132" t="inlineStr">
        <is>
          <t>Övriga Aktiebolag</t>
        </is>
      </c>
      <c r="I132" t="n">
        <v>11.7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5770-2023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44963</v>
      </c>
      <c r="E133" s="1" t="n">
        <v>46323</v>
      </c>
      <c r="F133" t="inlineStr">
        <is>
          <t>VÄSTRA GÖTALANDS LÄN</t>
        </is>
      </c>
      <c r="G133" t="inlineStr">
        <is>
          <t>HJO</t>
        </is>
      </c>
      <c r="I133" t="n">
        <v>1.7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14460-2023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45010</v>
      </c>
      <c r="E134" s="1" t="n">
        <v>46323</v>
      </c>
      <c r="F134" t="inlineStr">
        <is>
          <t>VÄSTRA GÖTALANDS LÄN</t>
        </is>
      </c>
      <c r="G134" t="inlineStr">
        <is>
          <t>HJO</t>
        </is>
      </c>
      <c r="I134" t="n">
        <v>5.4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61700-2023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45265</v>
      </c>
      <c r="E135" s="1" t="n">
        <v>46323</v>
      </c>
      <c r="F135" t="inlineStr">
        <is>
          <t>VÄSTRA GÖTALANDS LÄN</t>
        </is>
      </c>
      <c r="G135" t="inlineStr">
        <is>
          <t>HJO</t>
        </is>
      </c>
      <c r="H135" t="inlineStr">
        <is>
          <t>Sveaskog</t>
        </is>
      </c>
      <c r="I135" t="n">
        <v>2.4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9297-2022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44616</v>
      </c>
      <c r="E136" s="1" t="n">
        <v>46323</v>
      </c>
      <c r="F136" t="inlineStr">
        <is>
          <t>VÄSTRA GÖTALANDS LÄN</t>
        </is>
      </c>
      <c r="G136" t="inlineStr">
        <is>
          <t>HJO</t>
        </is>
      </c>
      <c r="I136" t="n">
        <v>1.5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70743-2021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44537</v>
      </c>
      <c r="E137" s="1" t="n">
        <v>46323</v>
      </c>
      <c r="F137" t="inlineStr">
        <is>
          <t>VÄSTRA GÖTALANDS LÄN</t>
        </is>
      </c>
      <c r="G137" t="inlineStr">
        <is>
          <t>HJO</t>
        </is>
      </c>
      <c r="I137" t="n">
        <v>2.7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55003-2024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45621</v>
      </c>
      <c r="E138" s="1" t="n">
        <v>46323</v>
      </c>
      <c r="F138" t="inlineStr">
        <is>
          <t>VÄSTRA GÖTALANDS LÄN</t>
        </is>
      </c>
      <c r="G138" t="inlineStr">
        <is>
          <t>HJO</t>
        </is>
      </c>
      <c r="I138" t="n">
        <v>1.9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41771-2026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46302</v>
      </c>
      <c r="E139" s="1" t="n">
        <v>46323</v>
      </c>
      <c r="F139" t="inlineStr">
        <is>
          <t>VÄSTRA GÖTALANDS LÄN</t>
        </is>
      </c>
      <c r="G139" t="inlineStr">
        <is>
          <t>HJO</t>
        </is>
      </c>
      <c r="I139" t="n">
        <v>2.3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35592-2026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46262</v>
      </c>
      <c r="E140" s="1" t="n">
        <v>46323</v>
      </c>
      <c r="F140" t="inlineStr">
        <is>
          <t>VÄSTRA GÖTALANDS LÄN</t>
        </is>
      </c>
      <c r="G140" t="inlineStr">
        <is>
          <t>HJO</t>
        </is>
      </c>
      <c r="I140" t="n">
        <v>4.5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8814-2022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44614</v>
      </c>
      <c r="E141" s="1" t="n">
        <v>46323</v>
      </c>
      <c r="F141" t="inlineStr">
        <is>
          <t>VÄSTRA GÖTALANDS LÄN</t>
        </is>
      </c>
      <c r="G141" t="inlineStr">
        <is>
          <t>HJO</t>
        </is>
      </c>
      <c r="H141" t="inlineStr">
        <is>
          <t>Kyrkan</t>
        </is>
      </c>
      <c r="I141" t="n">
        <v>4.6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30970-2023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45113</v>
      </c>
      <c r="E142" s="1" t="n">
        <v>46323</v>
      </c>
      <c r="F142" t="inlineStr">
        <is>
          <t>VÄSTRA GÖTALANDS LÄN</t>
        </is>
      </c>
      <c r="G142" t="inlineStr">
        <is>
          <t>HJO</t>
        </is>
      </c>
      <c r="I142" t="n">
        <v>4.2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43370-2025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45911</v>
      </c>
      <c r="E143" s="1" t="n">
        <v>46323</v>
      </c>
      <c r="F143" t="inlineStr">
        <is>
          <t>VÄSTRA GÖTALANDS LÄN</t>
        </is>
      </c>
      <c r="G143" t="inlineStr">
        <is>
          <t>HJO</t>
        </is>
      </c>
      <c r="I143" t="n">
        <v>1.9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14196-2023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45009</v>
      </c>
      <c r="E144" s="1" t="n">
        <v>46323</v>
      </c>
      <c r="F144" t="inlineStr">
        <is>
          <t>VÄSTRA GÖTALANDS LÄN</t>
        </is>
      </c>
      <c r="G144" t="inlineStr">
        <is>
          <t>HJO</t>
        </is>
      </c>
      <c r="I144" t="n">
        <v>3.5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42583-2026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46308</v>
      </c>
      <c r="E145" s="1" t="n">
        <v>46323</v>
      </c>
      <c r="F145" t="inlineStr">
        <is>
          <t>VÄSTRA GÖTALANDS LÄN</t>
        </is>
      </c>
      <c r="G145" t="inlineStr">
        <is>
          <t>HJO</t>
        </is>
      </c>
      <c r="I145" t="n">
        <v>2.7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59986-2023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45257</v>
      </c>
      <c r="E146" s="1" t="n">
        <v>46323</v>
      </c>
      <c r="F146" t="inlineStr">
        <is>
          <t>VÄSTRA GÖTALANDS LÄN</t>
        </is>
      </c>
      <c r="G146" t="inlineStr">
        <is>
          <t>HJO</t>
        </is>
      </c>
      <c r="I146" t="n">
        <v>7.7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42883-2026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46310</v>
      </c>
      <c r="E147" s="1" t="n">
        <v>46323</v>
      </c>
      <c r="F147" t="inlineStr">
        <is>
          <t>VÄSTRA GÖTALANDS LÄN</t>
        </is>
      </c>
      <c r="G147" t="inlineStr">
        <is>
          <t>HJO</t>
        </is>
      </c>
      <c r="I147" t="n">
        <v>1.2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25053-2025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45799</v>
      </c>
      <c r="E148" s="1" t="n">
        <v>46323</v>
      </c>
      <c r="F148" t="inlineStr">
        <is>
          <t>VÄSTRA GÖTALANDS LÄN</t>
        </is>
      </c>
      <c r="G148" t="inlineStr">
        <is>
          <t>HJO</t>
        </is>
      </c>
      <c r="I148" t="n">
        <v>1.7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39538-2023</t>
        </is>
      </c>
      <c r="B149" t="inlineStr">
        <is>
          <t>avverkningsanmälan</t>
        </is>
      </c>
      <c r="C149" t="inlineStr">
        <is>
          <t>Avverkning för annat ändamål</t>
        </is>
      </c>
      <c r="D149" s="1" t="n">
        <v>45167</v>
      </c>
      <c r="E149" s="1" t="n">
        <v>46323</v>
      </c>
      <c r="F149" t="inlineStr">
        <is>
          <t>VÄSTRA GÖTALANDS LÄN</t>
        </is>
      </c>
      <c r="G149" t="inlineStr">
        <is>
          <t>HJO</t>
        </is>
      </c>
      <c r="I149" t="n">
        <v>5.3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35486-2023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45146</v>
      </c>
      <c r="E150" s="1" t="n">
        <v>46323</v>
      </c>
      <c r="F150" t="inlineStr">
        <is>
          <t>VÄSTRA GÖTALANDS LÄN</t>
        </is>
      </c>
      <c r="G150" t="inlineStr">
        <is>
          <t>HJO</t>
        </is>
      </c>
      <c r="I150" t="n">
        <v>2.9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7392-2022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44606</v>
      </c>
      <c r="E151" s="1" t="n">
        <v>46323</v>
      </c>
      <c r="F151" t="inlineStr">
        <is>
          <t>VÄSTRA GÖTALANDS LÄN</t>
        </is>
      </c>
      <c r="G151" t="inlineStr">
        <is>
          <t>HJO</t>
        </is>
      </c>
      <c r="I151" t="n">
        <v>5.2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26230-2023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45091</v>
      </c>
      <c r="E152" s="1" t="n">
        <v>46323</v>
      </c>
      <c r="F152" t="inlineStr">
        <is>
          <t>VÄSTRA GÖTALANDS LÄN</t>
        </is>
      </c>
      <c r="G152" t="inlineStr">
        <is>
          <t>HJO</t>
        </is>
      </c>
      <c r="H152" t="inlineStr">
        <is>
          <t>Övriga Aktiebolag</t>
        </is>
      </c>
      <c r="I152" t="n">
        <v>9.4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29960-2025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45826</v>
      </c>
      <c r="E153" s="1" t="n">
        <v>46323</v>
      </c>
      <c r="F153" t="inlineStr">
        <is>
          <t>VÄSTRA GÖTALANDS LÄN</t>
        </is>
      </c>
      <c r="G153" t="inlineStr">
        <is>
          <t>HJO</t>
        </is>
      </c>
      <c r="I153" t="n">
        <v>2.6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46339-2024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45582</v>
      </c>
      <c r="E154" s="1" t="n">
        <v>46323</v>
      </c>
      <c r="F154" t="inlineStr">
        <is>
          <t>VÄSTRA GÖTALANDS LÄN</t>
        </is>
      </c>
      <c r="G154" t="inlineStr">
        <is>
          <t>HJO</t>
        </is>
      </c>
      <c r="I154" t="n">
        <v>1.1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36436-2026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46269</v>
      </c>
      <c r="E155" s="1" t="n">
        <v>46323</v>
      </c>
      <c r="F155" t="inlineStr">
        <is>
          <t>VÄSTRA GÖTALANDS LÄN</t>
        </is>
      </c>
      <c r="G155" t="inlineStr">
        <is>
          <t>HJO</t>
        </is>
      </c>
      <c r="H155" t="inlineStr">
        <is>
          <t>Övriga Aktiebolag</t>
        </is>
      </c>
      <c r="I155" t="n">
        <v>1.4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59452-2023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45254</v>
      </c>
      <c r="E156" s="1" t="n">
        <v>46323</v>
      </c>
      <c r="F156" t="inlineStr">
        <is>
          <t>VÄSTRA GÖTALANDS LÄN</t>
        </is>
      </c>
      <c r="G156" t="inlineStr">
        <is>
          <t>HJO</t>
        </is>
      </c>
      <c r="I156" t="n">
        <v>1.2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9338-2023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44980</v>
      </c>
      <c r="E157" s="1" t="n">
        <v>46323</v>
      </c>
      <c r="F157" t="inlineStr">
        <is>
          <t>VÄSTRA GÖTALANDS LÄN</t>
        </is>
      </c>
      <c r="G157" t="inlineStr">
        <is>
          <t>HJO</t>
        </is>
      </c>
      <c r="I157" t="n">
        <v>0.7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44181-2026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46318</v>
      </c>
      <c r="E158" s="1" t="n">
        <v>46323</v>
      </c>
      <c r="F158" t="inlineStr">
        <is>
          <t>VÄSTRA GÖTALANDS LÄN</t>
        </is>
      </c>
      <c r="G158" t="inlineStr">
        <is>
          <t>HJO</t>
        </is>
      </c>
      <c r="I158" t="n">
        <v>4.6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44185-2026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46318</v>
      </c>
      <c r="E159" s="1" t="n">
        <v>46323</v>
      </c>
      <c r="F159" t="inlineStr">
        <is>
          <t>VÄSTRA GÖTALANDS LÄN</t>
        </is>
      </c>
      <c r="G159" t="inlineStr">
        <is>
          <t>HJO</t>
        </is>
      </c>
      <c r="I159" t="n">
        <v>2.4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38052-2025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45882</v>
      </c>
      <c r="E160" s="1" t="n">
        <v>46323</v>
      </c>
      <c r="F160" t="inlineStr">
        <is>
          <t>VÄSTRA GÖTALANDS LÄN</t>
        </is>
      </c>
      <c r="G160" t="inlineStr">
        <is>
          <t>HJO</t>
        </is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35319-2025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45854</v>
      </c>
      <c r="E161" s="1" t="n">
        <v>46323</v>
      </c>
      <c r="F161" t="inlineStr">
        <is>
          <t>VÄSTRA GÖTALANDS LÄN</t>
        </is>
      </c>
      <c r="G161" t="inlineStr">
        <is>
          <t>HJO</t>
        </is>
      </c>
      <c r="H161" t="inlineStr">
        <is>
          <t>Sveaskog</t>
        </is>
      </c>
      <c r="I161" t="n">
        <v>3.3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13177-2025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45735</v>
      </c>
      <c r="E162" s="1" t="n">
        <v>46323</v>
      </c>
      <c r="F162" t="inlineStr">
        <is>
          <t>VÄSTRA GÖTALANDS LÄN</t>
        </is>
      </c>
      <c r="G162" t="inlineStr">
        <is>
          <t>HJO</t>
        </is>
      </c>
      <c r="I162" t="n">
        <v>2.4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23193-2026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46161</v>
      </c>
      <c r="E163" s="1" t="n">
        <v>46323</v>
      </c>
      <c r="F163" t="inlineStr">
        <is>
          <t>VÄSTRA GÖTALANDS LÄN</t>
        </is>
      </c>
      <c r="G163" t="inlineStr">
        <is>
          <t>HJO</t>
        </is>
      </c>
      <c r="I163" t="n">
        <v>2.6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50932-2025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45946</v>
      </c>
      <c r="E164" s="1" t="n">
        <v>46323</v>
      </c>
      <c r="F164" t="inlineStr">
        <is>
          <t>VÄSTRA GÖTALANDS LÄN</t>
        </is>
      </c>
      <c r="G164" t="inlineStr">
        <is>
          <t>HJO</t>
        </is>
      </c>
      <c r="I164" t="n">
        <v>2.1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25991-2026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46181</v>
      </c>
      <c r="E165" s="1" t="n">
        <v>46323</v>
      </c>
      <c r="F165" t="inlineStr">
        <is>
          <t>VÄSTRA GÖTALANDS LÄN</t>
        </is>
      </c>
      <c r="G165" t="inlineStr">
        <is>
          <t>HJO</t>
        </is>
      </c>
      <c r="I165" t="n">
        <v>1.5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S 967-2022</t>
        </is>
      </c>
      <c r="B166" t="inlineStr">
        <is>
          <t>samrådsanmälan</t>
        </is>
      </c>
      <c r="C166" t="inlineStr">
        <is>
          <t>Askåterföring</t>
        </is>
      </c>
      <c r="D166" s="1" t="n">
        <v>44607</v>
      </c>
      <c r="E166" s="1" t="n">
        <v>46323</v>
      </c>
      <c r="F166" t="inlineStr">
        <is>
          <t>VÄSTRA GÖTALANDS LÄN</t>
        </is>
      </c>
      <c r="G166" t="inlineStr">
        <is>
          <t>HJO</t>
        </is>
      </c>
      <c r="H166" t="inlineStr">
        <is>
          <t>Sveaskog</t>
        </is>
      </c>
      <c r="I166" t="n">
        <v>151.6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>
      <c r="A167" t="inlineStr">
        <is>
          <t>S 3584-2022</t>
        </is>
      </c>
      <c r="B167" t="inlineStr">
        <is>
          <t>samrådsanmälan</t>
        </is>
      </c>
      <c r="C167" t="inlineStr">
        <is>
          <t>Askåterföring</t>
        </is>
      </c>
      <c r="D167" s="1" t="n">
        <v>44735</v>
      </c>
      <c r="E167" s="1" t="n">
        <v>46323</v>
      </c>
      <c r="F167" t="inlineStr">
        <is>
          <t>VÄSTRA GÖTALANDS LÄN</t>
        </is>
      </c>
      <c r="G167" t="inlineStr">
        <is>
          <t>HJO</t>
        </is>
      </c>
      <c r="I167" t="n">
        <v>28.7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2026-10-28T03:15:01Z</dcterms:created>
  <dcterms:modified xmlns:dcterms="http://purl.org/dc/terms/" xmlns:xsi="http://www.w3.org/2001/XMLSchema-instance" xsi:type="dcterms:W3CDTF">2026-10-28T03:15:02Z</dcterms:modified>
</cp:coreProperties>
</file>