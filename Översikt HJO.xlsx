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8866-2025</t>
        </is>
      </c>
      <c r="B9" s="1" t="n">
        <v>45713</v>
      </c>
      <c r="C9" s="1" t="n">
        <v>45738</v>
      </c>
      <c r="D9" t="inlineStr">
        <is>
          <t>VÄSTRA GÖTALANDS LÄN</t>
        </is>
      </c>
      <c r="E9" t="inlineStr">
        <is>
          <t>HJO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HYPERLINK("https://klasma.github.io/Logging_1497/artfynd/A 8866-2025 artfynd.xlsx", "A 8866-2025")</f>
        <v/>
      </c>
      <c r="T9">
        <f>HYPERLINK("https://klasma.github.io/Logging_1497/kartor/A 8866-2025 karta.png", "A 8866-2025")</f>
        <v/>
      </c>
      <c r="V9">
        <f>HYPERLINK("https://klasma.github.io/Logging_1497/klagomål/A 8866-2025 FSC-klagomål.docx", "A 8866-2025")</f>
        <v/>
      </c>
      <c r="W9">
        <f>HYPERLINK("https://klasma.github.io/Logging_1497/klagomålsmail/A 8866-2025 FSC-klagomål mail.docx", "A 8866-2025")</f>
        <v/>
      </c>
      <c r="X9">
        <f>HYPERLINK("https://klasma.github.io/Logging_1497/tillsyn/A 8866-2025 tillsynsbegäran.docx", "A 8866-2025")</f>
        <v/>
      </c>
      <c r="Y9">
        <f>HYPERLINK("https://klasma.github.io/Logging_1497/tillsynsmail/A 8866-2025 tillsynsbegäran mail.docx", "A 8866-2025")</f>
        <v/>
      </c>
    </row>
    <row r="10" ht="15" customHeight="1">
      <c r="A10" t="inlineStr">
        <is>
          <t>A 8857-2025</t>
        </is>
      </c>
      <c r="B10" s="1" t="n">
        <v>45713</v>
      </c>
      <c r="C10" s="1" t="n">
        <v>45738</v>
      </c>
      <c r="D10" t="inlineStr">
        <is>
          <t>VÄSTRA GÖTALANDS LÄN</t>
        </is>
      </c>
      <c r="E10" t="inlineStr">
        <is>
          <t>HJO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HYPERLINK("https://klasma.github.io/Logging_1497/artfynd/A 8857-2025 artfynd.xlsx", "A 8857-2025")</f>
        <v/>
      </c>
      <c r="T10">
        <f>HYPERLINK("https://klasma.github.io/Logging_1497/kartor/A 8857-2025 karta.png", "A 8857-2025")</f>
        <v/>
      </c>
      <c r="V10">
        <f>HYPERLINK("https://klasma.github.io/Logging_1497/klagomål/A 8857-2025 FSC-klagomål.docx", "A 8857-2025")</f>
        <v/>
      </c>
      <c r="W10">
        <f>HYPERLINK("https://klasma.github.io/Logging_1497/klagomålsmail/A 8857-2025 FSC-klagomål mail.docx", "A 8857-2025")</f>
        <v/>
      </c>
      <c r="X10">
        <f>HYPERLINK("https://klasma.github.io/Logging_1497/tillsyn/A 8857-2025 tillsynsbegäran.docx", "A 8857-2025")</f>
        <v/>
      </c>
      <c r="Y10">
        <f>HYPERLINK("https://klasma.github.io/Logging_1497/tillsynsmail/A 8857-2025 tillsynsbegäran mail.docx", "A 8857-2025")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45738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HYPERLINK("https://klasma.github.io/Logging_1497/artfynd/A 10014-2025 artfynd.xlsx", "A 10014-2025")</f>
        <v/>
      </c>
      <c r="T11">
        <f>HYPERLINK("https://klasma.github.io/Logging_1497/kartor/A 10014-2025 karta.png", "A 10014-2025")</f>
        <v/>
      </c>
      <c r="U11">
        <f>HYPERLINK("https://klasma.github.io/Logging_1497/knärot/A 10014-2025 karta knärot.png", "A 10014-2025")</f>
        <v/>
      </c>
      <c r="V11">
        <f>HYPERLINK("https://klasma.github.io/Logging_1497/klagomål/A 10014-2025 FSC-klagomål.docx", "A 10014-2025")</f>
        <v/>
      </c>
      <c r="W11">
        <f>HYPERLINK("https://klasma.github.io/Logging_1497/klagomålsmail/A 10014-2025 FSC-klagomål mail.docx", "A 10014-2025")</f>
        <v/>
      </c>
      <c r="X11">
        <f>HYPERLINK("https://klasma.github.io/Logging_1497/tillsyn/A 10014-2025 tillsynsbegäran.docx", "A 10014-2025")</f>
        <v/>
      </c>
      <c r="Y11">
        <f>HYPERLINK("https://klasma.github.io/Logging_1497/tillsynsmail/A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45738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45738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45738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45738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45738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45738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45738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45738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45738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45738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45738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45738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45738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45738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45738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45738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45738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45738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45738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45738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45738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45738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45738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45738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45738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45738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45738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45738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45738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45738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45738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45738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45738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45738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45738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45738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45738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45738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45738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45738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45738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45738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45738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45738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45738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45738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45738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45738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45738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45738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45738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45738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45738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45738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45738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45738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45738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45738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45738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45738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45738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45738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45738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45738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45738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45738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45738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45738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45738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45738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45738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45738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45738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45738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45738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45738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45738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45738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45738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45738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45738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45738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45738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45738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45738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45738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45738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45738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45738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45738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45738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45738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45738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45738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45738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45738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45738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45738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45738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45738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45738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45738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45738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45738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45738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45738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45738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45738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45738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45738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45738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45738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45738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45738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45738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45738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45738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45738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45738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45738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45738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45738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45738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45738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45738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45738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45738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45738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45738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45738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45738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45738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45738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45738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45738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45738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45738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45738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45738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45738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45738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45738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45738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45738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45738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45738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45738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45738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45738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45738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45738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45738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45738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45738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45738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45738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45738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45738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45738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45738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45738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45738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45738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45738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45738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45738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45738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45738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45738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45738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45738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45738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45738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45738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45738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45738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45738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45738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45738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45738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45738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45738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45738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45738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45738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45738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45738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45738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45738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45738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45738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45738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45738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45738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45738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45738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45738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45738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45738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45738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45738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45738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45738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45738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45738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45738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45738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45738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45738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45738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45738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45738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45738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45738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45738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45738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45738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45738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45738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45738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45738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45738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45738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45738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45738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45738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45738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45738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45738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45738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45738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45738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45738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45738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45738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45738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45738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45738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45738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45738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45738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45738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45738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45738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45738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45738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45738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45738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45738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45738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45738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45738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45738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45738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45738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45738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45738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45738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45738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45738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45738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45738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45738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45738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45738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45738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45738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45738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45738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45738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2025-03-22T16:20:39Z</dcterms:created>
  <dcterms:modified xmlns:dcterms="http://purl.org/dc/terms/" xmlns:xsi="http://www.w3.org/2001/XMLSchema-instance" xsi:type="dcterms:W3CDTF">2025-03-22T16:20:40Z</dcterms:modified>
</cp:coreProperties>
</file>