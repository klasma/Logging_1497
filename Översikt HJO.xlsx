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46252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46252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46252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33003-2026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46252</v>
      </c>
      <c r="F6" t="inlineStr">
        <is>
          <t>VÄSTRA GÖTALANDS LÄN</t>
        </is>
      </c>
      <c r="G6" t="inlineStr">
        <is>
          <t>HJO</t>
        </is>
      </c>
      <c r="H6" t="inlineStr">
        <is>
          <t>Övriga Aktiebolag</t>
        </is>
      </c>
      <c r="I6" t="n">
        <v>4.4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Brun nållav</t>
        </is>
      </c>
      <c r="W6">
        <f>HYPERLINK("https://klasma.github.io/Logging_1497/artfynd/A 33003-2026 artfynd.xlsx", "A 33003-2026")</f>
        <v/>
      </c>
      <c r="X6">
        <f>HYPERLINK("https://klasma.github.io/Logging_1497/kartor/A 33003-2026 karta.png", "A 33003-2026")</f>
        <v/>
      </c>
      <c r="Y6">
        <f>HYPERLINK("https://klasma.github.io/Logging_1497/kartor_geotiff/A 33003-2026 georefererad karta.tif", "A 33003-2026")</f>
        <v/>
      </c>
      <c r="AA6">
        <f>HYPERLINK("https://klasma.github.io/Logging_1497/klagomål/A 33003-2026 FSC-klagomål.docx", "A 33003-2026")</f>
        <v/>
      </c>
      <c r="AB6">
        <f>HYPERLINK("https://klasma.github.io/Logging_1497/klagomålsmail/A 33003-2026 FSC-klagomål mail.docx", "A 33003-2026")</f>
        <v/>
      </c>
      <c r="AC6">
        <f>HYPERLINK("https://klasma.github.io/Logging_1497/tillsyn/A 33003-2026 tillsynsbegäran.docx", "A 33003-2026")</f>
        <v/>
      </c>
      <c r="AD6">
        <f>HYPERLINK("https://klasma.github.io/Logging_1497/tillsynsmail/A 33003-2026 tillsynsbegäran mail.docx", "A 33003-2026")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46252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10014-2025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46252</v>
      </c>
      <c r="F8" t="inlineStr">
        <is>
          <t>VÄSTRA GÖTALANDS LÄN</t>
        </is>
      </c>
      <c r="G8" t="inlineStr">
        <is>
          <t>HJO</t>
        </is>
      </c>
      <c r="I8" t="n">
        <v>5.9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4</v>
      </c>
      <c r="U8" t="n">
        <v>4</v>
      </c>
      <c r="V8" s="2" t="inlineStr">
        <is>
          <t>Knärot</t>
        </is>
      </c>
      <c r="W8">
        <f>HYPERLINK("https://klasma.github.io/Logging_1497/artfynd/A 10014-2025 artfynd.xlsx", "A 10014-2025")</f>
        <v/>
      </c>
      <c r="X8">
        <f>HYPERLINK("https://klasma.github.io/Logging_1497/kartor/A 10014-2025 karta.png", "A 10014-2025")</f>
        <v/>
      </c>
      <c r="Y8">
        <f>HYPERLINK("https://klasma.github.io/Logging_1497/kartor_geotiff/A 10014-2025 georefererad karta.tif", "A 10014-2025")</f>
        <v/>
      </c>
      <c r="Z8">
        <f>HYPERLINK("https://klasma.github.io/Logging_1497/knärot/A 10014-2025 karta knärot.png", "A 10014-2025")</f>
        <v/>
      </c>
      <c r="AA8">
        <f>HYPERLINK("https://klasma.github.io/Logging_1497/klagomål/A 10014-2025 FSC-klagomål.docx", "A 10014-2025")</f>
        <v/>
      </c>
      <c r="AB8">
        <f>HYPERLINK("https://klasma.github.io/Logging_1497/klagomålsmail/A 10014-2025 FSC-klagomål mail.docx", "A 10014-2025")</f>
        <v/>
      </c>
      <c r="AC8">
        <f>HYPERLINK("https://klasma.github.io/Logging_1497/tillsyn/A 10014-2025 tillsynsbegäran.docx", "A 10014-2025")</f>
        <v/>
      </c>
      <c r="AD8">
        <f>HYPERLINK("https://klasma.github.io/Logging_1497/tillsynsmail/A 10014-2025 tillsynsbegäran mail.docx", "A 10014-2025")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46252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35602-2022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44799</v>
      </c>
      <c r="E10" s="1" t="n">
        <v>46252</v>
      </c>
      <c r="F10" t="inlineStr">
        <is>
          <t>VÄSTRA GÖTALANDS LÄN</t>
        </is>
      </c>
      <c r="G10" t="inlineStr">
        <is>
          <t>HJO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25205-2022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46252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67995-2021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44525</v>
      </c>
      <c r="E12" s="1" t="n">
        <v>46252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46252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46252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46252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46252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45980-2022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44846</v>
      </c>
      <c r="E17" s="1" t="n">
        <v>46252</v>
      </c>
      <c r="F17" t="inlineStr">
        <is>
          <t>VÄSTRA GÖTALANDS LÄN</t>
        </is>
      </c>
      <c r="G17" t="inlineStr">
        <is>
          <t>HJO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65329-2021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44515</v>
      </c>
      <c r="E18" s="1" t="n">
        <v>46252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46252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44852</v>
      </c>
      <c r="E20" s="1" t="n">
        <v>46252</v>
      </c>
      <c r="F20" t="inlineStr">
        <is>
          <t>VÄSTRA GÖTALANDS LÄN</t>
        </is>
      </c>
      <c r="G20" t="inlineStr">
        <is>
          <t>HJO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35216-2022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44797</v>
      </c>
      <c r="E21" s="1" t="n">
        <v>46252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28512-2022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46252</v>
      </c>
      <c r="F22" t="inlineStr">
        <is>
          <t>VÄSTRA GÖTALANDS LÄN</t>
        </is>
      </c>
      <c r="G22" t="inlineStr">
        <is>
          <t>HJO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58495-2021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46252</v>
      </c>
      <c r="F23" t="inlineStr">
        <is>
          <t>VÄSTRA GÖTALANDS LÄN</t>
        </is>
      </c>
      <c r="G23" t="inlineStr">
        <is>
          <t>HJO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46252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46252</v>
      </c>
      <c r="F25" t="inlineStr">
        <is>
          <t>VÄSTRA GÖTALANDS LÄN</t>
        </is>
      </c>
      <c r="G25" t="inlineStr">
        <is>
          <t>HJO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44608</v>
      </c>
      <c r="E26" s="1" t="n">
        <v>46252</v>
      </c>
      <c r="F26" t="inlineStr">
        <is>
          <t>VÄSTRA GÖTALANDS LÄN</t>
        </is>
      </c>
      <c r="G26" t="inlineStr">
        <is>
          <t>HJO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46252</v>
      </c>
      <c r="F27" t="inlineStr">
        <is>
          <t>VÄSTRA GÖTALANDS LÄN</t>
        </is>
      </c>
      <c r="G27" t="inlineStr">
        <is>
          <t>HJO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50783-2021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44456</v>
      </c>
      <c r="E28" s="1" t="n">
        <v>46252</v>
      </c>
      <c r="F28" t="inlineStr">
        <is>
          <t>VÄSTRA GÖTALANDS LÄN</t>
        </is>
      </c>
      <c r="G28" t="inlineStr">
        <is>
          <t>HJO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44641</v>
      </c>
      <c r="E29" s="1" t="n">
        <v>46252</v>
      </c>
      <c r="F29" t="inlineStr">
        <is>
          <t>VÄSTRA GÖTALANDS LÄN</t>
        </is>
      </c>
      <c r="G29" t="inlineStr">
        <is>
          <t>HJO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46252</v>
      </c>
      <c r="F30" t="inlineStr">
        <is>
          <t>VÄSTRA GÖTALANDS LÄN</t>
        </is>
      </c>
      <c r="G30" t="inlineStr">
        <is>
          <t>HJO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44456</v>
      </c>
      <c r="E31" s="1" t="n">
        <v>46252</v>
      </c>
      <c r="F31" t="inlineStr">
        <is>
          <t>VÄSTRA GÖTALANDS LÄN</t>
        </is>
      </c>
      <c r="G31" t="inlineStr">
        <is>
          <t>HJO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7231-2022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44606</v>
      </c>
      <c r="E32" s="1" t="n">
        <v>46252</v>
      </c>
      <c r="F32" t="inlineStr">
        <is>
          <t>VÄSTRA GÖTALANDS LÄN</t>
        </is>
      </c>
      <c r="G32" t="inlineStr">
        <is>
          <t>HJO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44438</v>
      </c>
      <c r="E33" s="1" t="n">
        <v>46252</v>
      </c>
      <c r="F33" t="inlineStr">
        <is>
          <t>VÄSTRA GÖTALANDS LÄN</t>
        </is>
      </c>
      <c r="G33" t="inlineStr">
        <is>
          <t>HJO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32219-2022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44781</v>
      </c>
      <c r="E34" s="1" t="n">
        <v>46252</v>
      </c>
      <c r="F34" t="inlineStr">
        <is>
          <t>VÄSTRA GÖTALANDS LÄN</t>
        </is>
      </c>
      <c r="G34" t="inlineStr">
        <is>
          <t>HJO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44714</v>
      </c>
      <c r="E35" s="1" t="n">
        <v>46252</v>
      </c>
      <c r="F35" t="inlineStr">
        <is>
          <t>VÄSTRA GÖTALANDS LÄN</t>
        </is>
      </c>
      <c r="G35" t="inlineStr">
        <is>
          <t>HJO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44477</v>
      </c>
      <c r="E36" s="1" t="n">
        <v>46252</v>
      </c>
      <c r="F36" t="inlineStr">
        <is>
          <t>VÄSTRA GÖTALANDS LÄN</t>
        </is>
      </c>
      <c r="G36" t="inlineStr">
        <is>
          <t>HJO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44638</v>
      </c>
      <c r="E37" s="1" t="n">
        <v>46252</v>
      </c>
      <c r="F37" t="inlineStr">
        <is>
          <t>VÄSTRA GÖTALANDS LÄN</t>
        </is>
      </c>
      <c r="G37" t="inlineStr">
        <is>
          <t>HJO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44560</v>
      </c>
      <c r="E38" s="1" t="n">
        <v>46252</v>
      </c>
      <c r="F38" t="inlineStr">
        <is>
          <t>VÄSTRA GÖTALANDS LÄN</t>
        </is>
      </c>
      <c r="G38" t="inlineStr">
        <is>
          <t>HJO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9184-2022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44615</v>
      </c>
      <c r="E39" s="1" t="n">
        <v>46252</v>
      </c>
      <c r="F39" t="inlineStr">
        <is>
          <t>VÄSTRA GÖTALANDS LÄN</t>
        </is>
      </c>
      <c r="G39" t="inlineStr">
        <is>
          <t>HJO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29960-2025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45826</v>
      </c>
      <c r="E40" s="1" t="n">
        <v>46252</v>
      </c>
      <c r="F40" t="inlineStr">
        <is>
          <t>VÄSTRA GÖTALANDS LÄN</t>
        </is>
      </c>
      <c r="G40" t="inlineStr">
        <is>
          <t>HJO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42295-2021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44427</v>
      </c>
      <c r="E41" s="1" t="n">
        <v>46252</v>
      </c>
      <c r="F41" t="inlineStr">
        <is>
          <t>VÄSTRA GÖTALANDS LÄN</t>
        </is>
      </c>
      <c r="G41" t="inlineStr">
        <is>
          <t>HJO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44963</v>
      </c>
      <c r="E42" s="1" t="n">
        <v>46252</v>
      </c>
      <c r="F42" t="inlineStr">
        <is>
          <t>VÄSTRA GÖTALANDS LÄN</t>
        </is>
      </c>
      <c r="G42" t="inlineStr">
        <is>
          <t>HJO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9210-2022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46252</v>
      </c>
      <c r="F43" t="inlineStr">
        <is>
          <t>VÄSTRA GÖTALANDS LÄN</t>
        </is>
      </c>
      <c r="G43" t="inlineStr">
        <is>
          <t>HJO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59452-2023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45254</v>
      </c>
      <c r="E44" s="1" t="n">
        <v>46252</v>
      </c>
      <c r="F44" t="inlineStr">
        <is>
          <t>VÄSTRA GÖTALANDS LÄN</t>
        </is>
      </c>
      <c r="G44" t="inlineStr">
        <is>
          <t>HJO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55119-2023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45237</v>
      </c>
      <c r="E45" s="1" t="n">
        <v>46252</v>
      </c>
      <c r="F45" t="inlineStr">
        <is>
          <t>VÄSTRA GÖTALANDS LÄN</t>
        </is>
      </c>
      <c r="G45" t="inlineStr">
        <is>
          <t>HJO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58597-2022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44894</v>
      </c>
      <c r="E46" s="1" t="n">
        <v>46252</v>
      </c>
      <c r="F46" t="inlineStr">
        <is>
          <t>VÄSTRA GÖTALANDS LÄN</t>
        </is>
      </c>
      <c r="G46" t="inlineStr">
        <is>
          <t>HJO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62233-2022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44922</v>
      </c>
      <c r="E47" s="1" t="n">
        <v>46252</v>
      </c>
      <c r="F47" t="inlineStr">
        <is>
          <t>VÄSTRA GÖTALANDS LÄN</t>
        </is>
      </c>
      <c r="G47" t="inlineStr">
        <is>
          <t>HJO</t>
        </is>
      </c>
      <c r="I47" t="n">
        <v>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22050-2023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45069</v>
      </c>
      <c r="E48" s="1" t="n">
        <v>46252</v>
      </c>
      <c r="F48" t="inlineStr">
        <is>
          <t>VÄSTRA GÖTALANDS LÄN</t>
        </is>
      </c>
      <c r="G48" t="inlineStr">
        <is>
          <t>HJO</t>
        </is>
      </c>
      <c r="H48" t="inlineStr">
        <is>
          <t>Sveaskog</t>
        </is>
      </c>
      <c r="I48" t="n">
        <v>2.6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45643</v>
      </c>
      <c r="E49" s="1" t="n">
        <v>46252</v>
      </c>
      <c r="F49" t="inlineStr">
        <is>
          <t>VÄSTRA GÖTALANDS LÄN</t>
        </is>
      </c>
      <c r="G49" t="inlineStr">
        <is>
          <t>HJO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46339-2024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46252</v>
      </c>
      <c r="F50" t="inlineStr">
        <is>
          <t>VÄSTRA GÖTALANDS LÄN</t>
        </is>
      </c>
      <c r="G50" t="inlineStr">
        <is>
          <t>HJO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45736-2025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45923</v>
      </c>
      <c r="E51" s="1" t="n">
        <v>46252</v>
      </c>
      <c r="F51" t="inlineStr">
        <is>
          <t>VÄSTRA GÖTALANDS LÄN</t>
        </is>
      </c>
      <c r="G51" t="inlineStr">
        <is>
          <t>HJO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45742-2025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45923</v>
      </c>
      <c r="E52" s="1" t="n">
        <v>46252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46762-2023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45198</v>
      </c>
      <c r="E53" s="1" t="n">
        <v>46252</v>
      </c>
      <c r="F53" t="inlineStr">
        <is>
          <t>VÄSTRA GÖTALANDS LÄN</t>
        </is>
      </c>
      <c r="G53" t="inlineStr">
        <is>
          <t>HJO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46790-2023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45198</v>
      </c>
      <c r="E54" s="1" t="n">
        <v>46252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35319-2025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45854</v>
      </c>
      <c r="E55" s="1" t="n">
        <v>46252</v>
      </c>
      <c r="F55" t="inlineStr">
        <is>
          <t>VÄSTRA GÖTALANDS LÄN</t>
        </is>
      </c>
      <c r="G55" t="inlineStr">
        <is>
          <t>HJO</t>
        </is>
      </c>
      <c r="H55" t="inlineStr">
        <is>
          <t>Sveaskog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45735</v>
      </c>
      <c r="E56" s="1" t="n">
        <v>46252</v>
      </c>
      <c r="F56" t="inlineStr">
        <is>
          <t>VÄSTRA GÖTALANDS LÄN</t>
        </is>
      </c>
      <c r="G56" t="inlineStr">
        <is>
          <t>HJO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44310-2024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45573</v>
      </c>
      <c r="E57" s="1" t="n">
        <v>46252</v>
      </c>
      <c r="F57" t="inlineStr">
        <is>
          <t>VÄSTRA GÖTALANDS LÄN</t>
        </is>
      </c>
      <c r="G57" t="inlineStr">
        <is>
          <t>HJO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29798-2024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45485</v>
      </c>
      <c r="E58" s="1" t="n">
        <v>46252</v>
      </c>
      <c r="F58" t="inlineStr">
        <is>
          <t>VÄSTRA GÖTALANDS LÄN</t>
        </is>
      </c>
      <c r="G58" t="inlineStr">
        <is>
          <t>HJO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46252</v>
      </c>
      <c r="F59" t="inlineStr">
        <is>
          <t>VÄSTRA GÖTALANDS LÄN</t>
        </is>
      </c>
      <c r="G59" t="inlineStr">
        <is>
          <t>HJO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45167</v>
      </c>
      <c r="E60" s="1" t="n">
        <v>46252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39540-2023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45167</v>
      </c>
      <c r="E61" s="1" t="n">
        <v>46252</v>
      </c>
      <c r="F61" t="inlineStr">
        <is>
          <t>VÄSTRA GÖTALANDS LÄN</t>
        </is>
      </c>
      <c r="G61" t="inlineStr">
        <is>
          <t>HJO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45300</v>
      </c>
      <c r="E62" s="1" t="n">
        <v>46252</v>
      </c>
      <c r="F62" t="inlineStr">
        <is>
          <t>VÄSTRA GÖTALANDS LÄN</t>
        </is>
      </c>
      <c r="G62" t="inlineStr">
        <is>
          <t>HJO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45938</v>
      </c>
      <c r="E63" s="1" t="n">
        <v>46252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45146</v>
      </c>
      <c r="E64" s="1" t="n">
        <v>46252</v>
      </c>
      <c r="F64" t="inlineStr">
        <is>
          <t>VÄSTRA GÖTALANDS LÄN</t>
        </is>
      </c>
      <c r="G64" t="inlineStr">
        <is>
          <t>HJO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46252</v>
      </c>
      <c r="F65" t="inlineStr">
        <is>
          <t>VÄSTRA GÖTALANDS LÄN</t>
        </is>
      </c>
      <c r="G65" t="inlineStr">
        <is>
          <t>HJO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46252</v>
      </c>
      <c r="F66" t="inlineStr">
        <is>
          <t>VÄSTRA GÖTALANDS LÄN</t>
        </is>
      </c>
      <c r="G66" t="inlineStr">
        <is>
          <t>HJO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46252</v>
      </c>
      <c r="F67" t="inlineStr">
        <is>
          <t>VÄSTRA GÖTALANDS LÄN</t>
        </is>
      </c>
      <c r="G67" t="inlineStr">
        <is>
          <t>HJO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51362-2025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45950</v>
      </c>
      <c r="E68" s="1" t="n">
        <v>46252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44614</v>
      </c>
      <c r="E69" s="1" t="n">
        <v>46252</v>
      </c>
      <c r="F69" t="inlineStr">
        <is>
          <t>VÄSTRA GÖTALANDS LÄN</t>
        </is>
      </c>
      <c r="G69" t="inlineStr">
        <is>
          <t>HJO</t>
        </is>
      </c>
      <c r="H69" t="inlineStr">
        <is>
          <t>Kyrkan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44935</v>
      </c>
      <c r="E70" s="1" t="n">
        <v>46252</v>
      </c>
      <c r="F70" t="inlineStr">
        <is>
          <t>VÄSTRA GÖTALANDS LÄN</t>
        </is>
      </c>
      <c r="G70" t="inlineStr">
        <is>
          <t>HJO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44980</v>
      </c>
      <c r="E71" s="1" t="n">
        <v>46252</v>
      </c>
      <c r="F71" t="inlineStr">
        <is>
          <t>VÄSTRA GÖTALANDS LÄN</t>
        </is>
      </c>
      <c r="G71" t="inlineStr">
        <is>
          <t>HJO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44684-2023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45186</v>
      </c>
      <c r="E72" s="1" t="n">
        <v>46252</v>
      </c>
      <c r="F72" t="inlineStr">
        <is>
          <t>VÄSTRA GÖTALANDS LÄN</t>
        </is>
      </c>
      <c r="G72" t="inlineStr">
        <is>
          <t>HJO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44981</v>
      </c>
      <c r="E73" s="1" t="n">
        <v>46252</v>
      </c>
      <c r="F73" t="inlineStr">
        <is>
          <t>VÄSTRA GÖTALANDS LÄN</t>
        </is>
      </c>
      <c r="G73" t="inlineStr">
        <is>
          <t>HJO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34859-2023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45142</v>
      </c>
      <c r="E74" s="1" t="n">
        <v>46252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40629-2024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45557</v>
      </c>
      <c r="E75" s="1" t="n">
        <v>46252</v>
      </c>
      <c r="F75" t="inlineStr">
        <is>
          <t>VÄSTRA GÖTALANDS LÄN</t>
        </is>
      </c>
      <c r="G75" t="inlineStr">
        <is>
          <t>HJO</t>
        </is>
      </c>
      <c r="I75" t="n">
        <v>11.5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44945</v>
      </c>
      <c r="E76" s="1" t="n">
        <v>46252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32518-2022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44782</v>
      </c>
      <c r="E77" s="1" t="n">
        <v>46252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50152-2023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46252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60318-2024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45643</v>
      </c>
      <c r="E79" s="1" t="n">
        <v>46252</v>
      </c>
      <c r="F79" t="inlineStr">
        <is>
          <t>VÄSTRA GÖTALANDS LÄN</t>
        </is>
      </c>
      <c r="G79" t="inlineStr">
        <is>
          <t>HJO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53839-2024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45615</v>
      </c>
      <c r="E80" s="1" t="n">
        <v>46252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45615</v>
      </c>
      <c r="E81" s="1" t="n">
        <v>46252</v>
      </c>
      <c r="F81" t="inlineStr">
        <is>
          <t>VÄSTRA GÖTALANDS LÄN</t>
        </is>
      </c>
      <c r="G81" t="inlineStr">
        <is>
          <t>HJO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46252</v>
      </c>
      <c r="F82" t="inlineStr">
        <is>
          <t>VÄSTRA GÖTALANDS LÄN</t>
        </is>
      </c>
      <c r="G82" t="inlineStr">
        <is>
          <t>HJO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45198</v>
      </c>
      <c r="E83" s="1" t="n">
        <v>46252</v>
      </c>
      <c r="F83" t="inlineStr">
        <is>
          <t>VÄSTRA GÖTALANDS LÄN</t>
        </is>
      </c>
      <c r="G83" t="inlineStr">
        <is>
          <t>HJO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54902-2023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46252</v>
      </c>
      <c r="F84" t="inlineStr">
        <is>
          <t>VÄSTRA GÖTALANDS LÄN</t>
        </is>
      </c>
      <c r="G84" t="inlineStr">
        <is>
          <t>HJO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45000</v>
      </c>
      <c r="E85" s="1" t="n">
        <v>46252</v>
      </c>
      <c r="F85" t="inlineStr">
        <is>
          <t>VÄSTRA GÖTALANDS LÄN</t>
        </is>
      </c>
      <c r="G85" t="inlineStr">
        <is>
          <t>HJO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45642</v>
      </c>
      <c r="E86" s="1" t="n">
        <v>46252</v>
      </c>
      <c r="F86" t="inlineStr">
        <is>
          <t>VÄSTRA GÖTALANDS LÄN</t>
        </is>
      </c>
      <c r="G86" t="inlineStr">
        <is>
          <t>HJO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10670-2024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45369</v>
      </c>
      <c r="E87" s="1" t="n">
        <v>46252</v>
      </c>
      <c r="F87" t="inlineStr">
        <is>
          <t>VÄSTRA GÖTALANDS LÄN</t>
        </is>
      </c>
      <c r="G87" t="inlineStr">
        <is>
          <t>HJO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44508</v>
      </c>
      <c r="E88" s="1" t="n">
        <v>46252</v>
      </c>
      <c r="F88" t="inlineStr">
        <is>
          <t>VÄSTRA GÖTALANDS LÄN</t>
        </is>
      </c>
      <c r="G88" t="inlineStr">
        <is>
          <t>HJO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45009</v>
      </c>
      <c r="E89" s="1" t="n">
        <v>46252</v>
      </c>
      <c r="F89" t="inlineStr">
        <is>
          <t>VÄSTRA GÖTALANDS LÄN</t>
        </is>
      </c>
      <c r="G89" t="inlineStr">
        <is>
          <t>HJO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44957</v>
      </c>
      <c r="E90" s="1" t="n">
        <v>46252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7722-2024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45349</v>
      </c>
      <c r="E91" s="1" t="n">
        <v>46252</v>
      </c>
      <c r="F91" t="inlineStr">
        <is>
          <t>VÄSTRA GÖTALANDS LÄN</t>
        </is>
      </c>
      <c r="G91" t="inlineStr">
        <is>
          <t>HJO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46252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45010</v>
      </c>
      <c r="E93" s="1" t="n">
        <v>46252</v>
      </c>
      <c r="F93" t="inlineStr">
        <is>
          <t>VÄSTRA GÖTALANDS LÄN</t>
        </is>
      </c>
      <c r="G93" t="inlineStr">
        <is>
          <t>HJO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45621</v>
      </c>
      <c r="E94" s="1" t="n">
        <v>46252</v>
      </c>
      <c r="F94" t="inlineStr">
        <is>
          <t>VÄSTRA GÖTALANDS LÄN</t>
        </is>
      </c>
      <c r="G94" t="inlineStr">
        <is>
          <t>HJO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46252</v>
      </c>
      <c r="F95" t="inlineStr">
        <is>
          <t>VÄSTRA GÖTALANDS LÄN</t>
        </is>
      </c>
      <c r="G95" t="inlineStr">
        <is>
          <t>HJO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49564-2024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46252</v>
      </c>
      <c r="F96" t="inlineStr">
        <is>
          <t>VÄSTRA GÖTALANDS LÄN</t>
        </is>
      </c>
      <c r="G96" t="inlineStr">
        <is>
          <t>HJO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45699</v>
      </c>
      <c r="E97" s="1" t="n">
        <v>46252</v>
      </c>
      <c r="F97" t="inlineStr">
        <is>
          <t>VÄSTRA GÖTALANDS LÄN</t>
        </is>
      </c>
      <c r="G97" t="inlineStr">
        <is>
          <t>HJO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26248-2024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45468</v>
      </c>
      <c r="E98" s="1" t="n">
        <v>46252</v>
      </c>
      <c r="F98" t="inlineStr">
        <is>
          <t>VÄSTRA GÖTALANDS LÄN</t>
        </is>
      </c>
      <c r="G98" t="inlineStr">
        <is>
          <t>HJO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47300-2022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46252</v>
      </c>
      <c r="F99" t="inlineStr">
        <is>
          <t>VÄSTRA GÖTALANDS LÄN</t>
        </is>
      </c>
      <c r="G99" t="inlineStr">
        <is>
          <t>HJO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46042</v>
      </c>
      <c r="E100" s="1" t="n">
        <v>46252</v>
      </c>
      <c r="F100" t="inlineStr">
        <is>
          <t>VÄSTRA GÖTALANDS LÄN</t>
        </is>
      </c>
      <c r="G100" t="inlineStr">
        <is>
          <t>HJO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47047-2021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46252</v>
      </c>
      <c r="F101" t="inlineStr">
        <is>
          <t>VÄSTRA GÖTALANDS LÄN</t>
        </is>
      </c>
      <c r="G101" t="inlineStr">
        <is>
          <t>HJO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7392-2022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44606</v>
      </c>
      <c r="E102" s="1" t="n">
        <v>46252</v>
      </c>
      <c r="F102" t="inlineStr">
        <is>
          <t>VÄSTRA GÖTALANDS LÄN</t>
        </is>
      </c>
      <c r="G102" t="inlineStr">
        <is>
          <t>HJO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45665</v>
      </c>
      <c r="E103" s="1" t="n">
        <v>46252</v>
      </c>
      <c r="F103" t="inlineStr">
        <is>
          <t>VÄSTRA GÖTALANDS LÄN</t>
        </is>
      </c>
      <c r="G103" t="inlineStr">
        <is>
          <t>HJO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25991-2026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46181</v>
      </c>
      <c r="E104" s="1" t="n">
        <v>46252</v>
      </c>
      <c r="F104" t="inlineStr">
        <is>
          <t>VÄSTRA GÖTALANDS LÄN</t>
        </is>
      </c>
      <c r="G104" t="inlineStr">
        <is>
          <t>HJO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44745</v>
      </c>
      <c r="E105" s="1" t="n">
        <v>46252</v>
      </c>
      <c r="F105" t="inlineStr">
        <is>
          <t>VÄSTRA GÖTALANDS LÄN</t>
        </is>
      </c>
      <c r="G105" t="inlineStr">
        <is>
          <t>HJO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13703-2024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45390</v>
      </c>
      <c r="E106" s="1" t="n">
        <v>46252</v>
      </c>
      <c r="F106" t="inlineStr">
        <is>
          <t>VÄSTRA GÖTALANDS LÄN</t>
        </is>
      </c>
      <c r="G106" t="inlineStr">
        <is>
          <t>HJO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6686-2026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46056</v>
      </c>
      <c r="E107" s="1" t="n">
        <v>46252</v>
      </c>
      <c r="F107" t="inlineStr">
        <is>
          <t>VÄSTRA GÖTALANDS LÄN</t>
        </is>
      </c>
      <c r="G107" t="inlineStr">
        <is>
          <t>HJO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6705-2026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46056</v>
      </c>
      <c r="E108" s="1" t="n">
        <v>46252</v>
      </c>
      <c r="F108" t="inlineStr">
        <is>
          <t>VÄSTRA GÖTALANDS LÄN</t>
        </is>
      </c>
      <c r="G108" t="inlineStr">
        <is>
          <t>HJO</t>
        </is>
      </c>
      <c r="I108" t="n">
        <v>6.3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45699</v>
      </c>
      <c r="E109" s="1" t="n">
        <v>46252</v>
      </c>
      <c r="F109" t="inlineStr">
        <is>
          <t>VÄSTRA GÖTALANDS LÄN</t>
        </is>
      </c>
      <c r="G109" t="inlineStr">
        <is>
          <t>HJO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26230-2023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45091</v>
      </c>
      <c r="E110" s="1" t="n">
        <v>46252</v>
      </c>
      <c r="F110" t="inlineStr">
        <is>
          <t>VÄSTRA GÖTALANDS LÄN</t>
        </is>
      </c>
      <c r="G110" t="inlineStr">
        <is>
          <t>HJO</t>
        </is>
      </c>
      <c r="H110" t="inlineStr">
        <is>
          <t>Övriga Aktiebolag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46086</v>
      </c>
      <c r="E111" s="1" t="n">
        <v>46252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46252</v>
      </c>
      <c r="F112" t="inlineStr">
        <is>
          <t>VÄSTRA GÖTALANDS LÄN</t>
        </is>
      </c>
      <c r="G112" t="inlineStr">
        <is>
          <t>HJO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44939</v>
      </c>
      <c r="E113" s="1" t="n">
        <v>46252</v>
      </c>
      <c r="F113" t="inlineStr">
        <is>
          <t>VÄSTRA GÖTALANDS LÄN</t>
        </is>
      </c>
      <c r="G113" t="inlineStr">
        <is>
          <t>HJO</t>
        </is>
      </c>
      <c r="I113" t="n">
        <v>11.6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9177-2022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46252</v>
      </c>
      <c r="F114" t="inlineStr">
        <is>
          <t>VÄSTRA GÖTALANDS LÄN</t>
        </is>
      </c>
      <c r="G114" t="inlineStr">
        <is>
          <t>HJO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20024-2022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44697</v>
      </c>
      <c r="E115" s="1" t="n">
        <v>46252</v>
      </c>
      <c r="F115" t="inlineStr">
        <is>
          <t>VÄSTRA GÖTALANDS LÄN</t>
        </is>
      </c>
      <c r="G115" t="inlineStr">
        <is>
          <t>HJO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15019-2026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46104</v>
      </c>
      <c r="E116" s="1" t="n">
        <v>46252</v>
      </c>
      <c r="F116" t="inlineStr">
        <is>
          <t>VÄSTRA GÖTALANDS LÄN</t>
        </is>
      </c>
      <c r="G116" t="inlineStr">
        <is>
          <t>HJO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46252</v>
      </c>
      <c r="F117" t="inlineStr">
        <is>
          <t>VÄSTRA GÖTALANDS LÄN</t>
        </is>
      </c>
      <c r="G117" t="inlineStr">
        <is>
          <t>HJO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50711-2024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45602</v>
      </c>
      <c r="E118" s="1" t="n">
        <v>46252</v>
      </c>
      <c r="F118" t="inlineStr">
        <is>
          <t>VÄSTRA GÖTALANDS LÄN</t>
        </is>
      </c>
      <c r="G118" t="inlineStr">
        <is>
          <t>HJO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70743-2021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44537</v>
      </c>
      <c r="E119" s="1" t="n">
        <v>46252</v>
      </c>
      <c r="F119" t="inlineStr">
        <is>
          <t>VÄSTRA GÖTALANDS LÄN</t>
        </is>
      </c>
      <c r="G119" t="inlineStr">
        <is>
          <t>HJO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39542-2023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45167</v>
      </c>
      <c r="E120" s="1" t="n">
        <v>46252</v>
      </c>
      <c r="F120" t="inlineStr">
        <is>
          <t>VÄSTRA GÖTALANDS LÄN</t>
        </is>
      </c>
      <c r="G120" t="inlineStr">
        <is>
          <t>HJO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16352-2023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45028</v>
      </c>
      <c r="E121" s="1" t="n">
        <v>46252</v>
      </c>
      <c r="F121" t="inlineStr">
        <is>
          <t>VÄSTRA GÖTALANDS LÄN</t>
        </is>
      </c>
      <c r="G121" t="inlineStr">
        <is>
          <t>HJO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39538-2023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45167</v>
      </c>
      <c r="E122" s="1" t="n">
        <v>46252</v>
      </c>
      <c r="F122" t="inlineStr">
        <is>
          <t>VÄSTRA GÖTALANDS LÄN</t>
        </is>
      </c>
      <c r="G122" t="inlineStr">
        <is>
          <t>HJO</t>
        </is>
      </c>
      <c r="I122" t="n">
        <v>5.3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61925-2023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46252</v>
      </c>
      <c r="F123" t="inlineStr">
        <is>
          <t>VÄSTRA GÖTALANDS LÄN</t>
        </is>
      </c>
      <c r="G123" t="inlineStr">
        <is>
          <t>HJO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43370-2025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45911</v>
      </c>
      <c r="E124" s="1" t="n">
        <v>46252</v>
      </c>
      <c r="F124" t="inlineStr">
        <is>
          <t>VÄSTRA GÖTALANDS LÄN</t>
        </is>
      </c>
      <c r="G124" t="inlineStr">
        <is>
          <t>HJO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46252</v>
      </c>
      <c r="F125" t="inlineStr">
        <is>
          <t>VÄSTRA GÖTALANDS LÄN</t>
        </is>
      </c>
      <c r="G125" t="inlineStr">
        <is>
          <t>HJO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46244</v>
      </c>
      <c r="E126" s="1" t="n">
        <v>46252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32919-2026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46252</v>
      </c>
      <c r="F127" t="inlineStr">
        <is>
          <t>VÄSTRA GÖTALANDS LÄN</t>
        </is>
      </c>
      <c r="G127" t="inlineStr">
        <is>
          <t>HJO</t>
        </is>
      </c>
      <c r="H127" t="inlineStr">
        <is>
          <t>Övriga Aktiebolag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32921-2026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46252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46252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46252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46252</v>
      </c>
      <c r="F131" t="inlineStr">
        <is>
          <t>VÄSTRA GÖTALANDS LÄN</t>
        </is>
      </c>
      <c r="G131" t="inlineStr">
        <is>
          <t>HJO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30970-2023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46252</v>
      </c>
      <c r="F132" t="inlineStr">
        <is>
          <t>VÄSTRA GÖTALANDS LÄN</t>
        </is>
      </c>
      <c r="G132" t="inlineStr">
        <is>
          <t>HJO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46520-2023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45197</v>
      </c>
      <c r="E133" s="1" t="n">
        <v>46252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29596-2024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45484</v>
      </c>
      <c r="E134" s="1" t="n">
        <v>46252</v>
      </c>
      <c r="F134" t="inlineStr">
        <is>
          <t>VÄSTRA GÖTALANDS LÄN</t>
        </is>
      </c>
      <c r="G134" t="inlineStr">
        <is>
          <t>HJO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61700-2023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45265</v>
      </c>
      <c r="E135" s="1" t="n">
        <v>46252</v>
      </c>
      <c r="F135" t="inlineStr">
        <is>
          <t>VÄSTRA GÖTALANDS LÄN</t>
        </is>
      </c>
      <c r="G135" t="inlineStr">
        <is>
          <t>HJO</t>
        </is>
      </c>
      <c r="H135" t="inlineStr">
        <is>
          <t>Sveaskog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46252</v>
      </c>
      <c r="F136" t="inlineStr">
        <is>
          <t>VÄSTRA GÖTALANDS LÄN</t>
        </is>
      </c>
      <c r="G136" t="inlineStr">
        <is>
          <t>HJO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44951</v>
      </c>
      <c r="E137" s="1" t="n">
        <v>46252</v>
      </c>
      <c r="F137" t="inlineStr">
        <is>
          <t>VÄSTRA GÖTALANDS LÄN</t>
        </is>
      </c>
      <c r="G137" t="inlineStr">
        <is>
          <t>HJO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46252</v>
      </c>
      <c r="F138" t="inlineStr">
        <is>
          <t>VÄSTRA GÖTALANDS LÄN</t>
        </is>
      </c>
      <c r="G138" t="inlineStr">
        <is>
          <t>HJO</t>
        </is>
      </c>
      <c r="I138" t="n">
        <v>7.7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46205</v>
      </c>
      <c r="E139" s="1" t="n">
        <v>46252</v>
      </c>
      <c r="F139" t="inlineStr">
        <is>
          <t>VÄSTRA GÖTALANDS LÄN</t>
        </is>
      </c>
      <c r="G139" t="inlineStr">
        <is>
          <t>HJO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37789-2022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44810</v>
      </c>
      <c r="E140" s="1" t="n">
        <v>46252</v>
      </c>
      <c r="F140" t="inlineStr">
        <is>
          <t>VÄSTRA GÖTALANDS LÄN</t>
        </is>
      </c>
      <c r="G140" t="inlineStr">
        <is>
          <t>HJO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39907-2024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46252</v>
      </c>
      <c r="F141" t="inlineStr">
        <is>
          <t>VÄSTRA GÖTALANDS LÄN</t>
        </is>
      </c>
      <c r="G141" t="inlineStr">
        <is>
          <t>HJO</t>
        </is>
      </c>
      <c r="I141" t="n">
        <v>6.5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46252</v>
      </c>
      <c r="F142" t="inlineStr">
        <is>
          <t>VÄSTRA GÖTALANDS LÄN</t>
        </is>
      </c>
      <c r="G142" t="inlineStr">
        <is>
          <t>HJO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38052-2025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46252</v>
      </c>
      <c r="F143" t="inlineStr">
        <is>
          <t>VÄSTRA GÖTALANDS LÄN</t>
        </is>
      </c>
      <c r="G143" t="inlineStr">
        <is>
          <t>HJO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29953-2026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46205</v>
      </c>
      <c r="E144" s="1" t="n">
        <v>46252</v>
      </c>
      <c r="F144" t="inlineStr">
        <is>
          <t>VÄSTRA GÖTALANDS LÄN</t>
        </is>
      </c>
      <c r="G144" t="inlineStr">
        <is>
          <t>HJO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46252</v>
      </c>
      <c r="F145" t="inlineStr">
        <is>
          <t>VÄSTRA GÖTALANDS LÄN</t>
        </is>
      </c>
      <c r="G145" t="inlineStr">
        <is>
          <t>HJO</t>
        </is>
      </c>
      <c r="H145" t="inlineStr">
        <is>
          <t>Kyrkan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46252</v>
      </c>
      <c r="F146" t="inlineStr">
        <is>
          <t>VÄSTRA GÖTALANDS LÄN</t>
        </is>
      </c>
      <c r="G146" t="inlineStr">
        <is>
          <t>HJO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45538</v>
      </c>
      <c r="E147" s="1" t="n">
        <v>46252</v>
      </c>
      <c r="F147" t="inlineStr">
        <is>
          <t>VÄSTRA GÖTALANDS LÄN</t>
        </is>
      </c>
      <c r="G147" t="inlineStr">
        <is>
          <t>HJO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46161</v>
      </c>
      <c r="E148" s="1" t="n">
        <v>46252</v>
      </c>
      <c r="F148" t="inlineStr">
        <is>
          <t>VÄSTRA GÖTALANDS LÄN</t>
        </is>
      </c>
      <c r="G148" t="inlineStr">
        <is>
          <t>HJO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45351</v>
      </c>
      <c r="E149" s="1" t="n">
        <v>46252</v>
      </c>
      <c r="F149" t="inlineStr">
        <is>
          <t>VÄSTRA GÖTALANDS LÄN</t>
        </is>
      </c>
      <c r="G149" t="inlineStr">
        <is>
          <t>HJO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46252</v>
      </c>
      <c r="F150" t="inlineStr">
        <is>
          <t>VÄSTRA GÖTALANDS LÄN</t>
        </is>
      </c>
      <c r="G150" t="inlineStr">
        <is>
          <t>HJO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46252</v>
      </c>
      <c r="F151" t="inlineStr">
        <is>
          <t>VÄSTRA GÖTALANDS LÄN</t>
        </is>
      </c>
      <c r="G151" t="inlineStr">
        <is>
          <t>HJO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50932-2025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46252</v>
      </c>
      <c r="F152" t="inlineStr">
        <is>
          <t>VÄSTRA GÖTALANDS LÄN</t>
        </is>
      </c>
      <c r="G152" t="inlineStr">
        <is>
          <t>HJO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46252</v>
      </c>
      <c r="F153" t="inlineStr">
        <is>
          <t>VÄSTRA GÖTALANDS LÄN</t>
        </is>
      </c>
      <c r="G153" t="inlineStr">
        <is>
          <t>HJO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46252</v>
      </c>
      <c r="F154" t="inlineStr">
        <is>
          <t>VÄSTRA GÖTALANDS LÄN</t>
        </is>
      </c>
      <c r="G154" t="inlineStr">
        <is>
          <t>HJO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46252</v>
      </c>
      <c r="F155" t="inlineStr">
        <is>
          <t>VÄSTRA GÖTALANDS LÄN</t>
        </is>
      </c>
      <c r="G155" t="inlineStr">
        <is>
          <t>HJO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967-2022</t>
        </is>
      </c>
      <c r="B156" t="inlineStr">
        <is>
          <t>samrådsanmälan</t>
        </is>
      </c>
      <c r="C156" t="inlineStr">
        <is>
          <t>Askåterföring</t>
        </is>
      </c>
      <c r="D156" s="1" t="n">
        <v>44607</v>
      </c>
      <c r="E156" s="1" t="n">
        <v>46252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151.6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3584-2022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44735</v>
      </c>
      <c r="E157" s="1" t="n">
        <v>46252</v>
      </c>
      <c r="F157" t="inlineStr">
        <is>
          <t>VÄSTRA GÖTALANDS LÄN</t>
        </is>
      </c>
      <c r="G157" t="inlineStr">
        <is>
          <t>HJO</t>
        </is>
      </c>
      <c r="I157" t="n">
        <v>28.7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2026-08-18T01:45:39Z</dcterms:created>
  <dcterms:modified xmlns:dcterms="http://purl.org/dc/terms/" xmlns:xsi="http://www.w3.org/2001/XMLSchema-instance" xsi:type="dcterms:W3CDTF">2026-08-18T01:45:39Z</dcterms:modified>
</cp:coreProperties>
</file>