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39364-2026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46288</v>
      </c>
      <c r="E2" s="1" t="n">
        <v>46320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10.6</v>
      </c>
      <c r="J2" t="n">
        <v>2</v>
      </c>
      <c r="K2" t="n">
        <v>2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Brunlångöra
Dropptaggsvamp
Motaggsvamp
Skarp dropptaggsvamp
Fransig jordstjärna
Grovticka
Svartvit flugsnappare</t>
        </is>
      </c>
      <c r="W2">
        <f>HYPERLINK("https://klasma.github.io/Logging_1497/artfynd/A 39364-2026 artfynd.xlsx", "A 39364-2026")</f>
        <v/>
      </c>
      <c r="X2">
        <f>HYPERLINK("https://klasma.github.io/Logging_1497/kartor/A 39364-2026 karta.png", "A 39364-2026")</f>
        <v/>
      </c>
      <c r="Y2">
        <f>HYPERLINK("https://klasma.github.io/Logging_1497/kartor_geotiff/A 39364-2026 georefererad karta.tif", "A 39364-2026")</f>
        <v/>
      </c>
      <c r="AA2">
        <f>HYPERLINK("https://klasma.github.io/Logging_1497/klagomål/A 39364-2026 FSC-klagomål.docx", "A 39364-2026")</f>
        <v/>
      </c>
      <c r="AB2">
        <f>HYPERLINK("https://klasma.github.io/Logging_1497/klagomålsmail/A 39364-2026 FSC-klagomål mail.docx", "A 39364-2026")</f>
        <v/>
      </c>
      <c r="AC2">
        <f>HYPERLINK("https://klasma.github.io/Logging_1497/tillsyn/A 39364-2026 tillsynsbegäran.docx", "A 39364-2026")</f>
        <v/>
      </c>
      <c r="AD2">
        <f>HYPERLINK("https://klasma.github.io/Logging_1497/tillsynsmail/A 39364-2026 tillsynsbegäran mail.docx", "A 39364-2026")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46320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7</v>
      </c>
      <c r="T3" t="n">
        <v>11</v>
      </c>
      <c r="U3" t="n">
        <v>8</v>
      </c>
      <c r="V3" s="2" t="inlineStr">
        <is>
          <t>Ask
Dropptaggsvamp
Motaggsvamp
Skarp dropptaggsvamp
Ägretthäger
Fransig jordstjärna
Linnea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46320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46320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46320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46320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46320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46320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46320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46320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46320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26270-2024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45468</v>
      </c>
      <c r="E13" s="1" t="n">
        <v>46320</v>
      </c>
      <c r="F13" t="inlineStr">
        <is>
          <t>VÄSTRA GÖTALANDS LÄN</t>
        </is>
      </c>
      <c r="G13" t="inlineStr">
        <is>
          <t>HJO</t>
        </is>
      </c>
      <c r="I13" t="n">
        <v>5.6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HYPERLINK("https://klasma.github.io/Logging_1497/artfynd/A 26270-2024 artfynd.xlsx", "A 26270-2024")</f>
        <v/>
      </c>
      <c r="X13">
        <f>HYPERLINK("https://klasma.github.io/Logging_1497/kartor/A 26270-2024 karta.png", "A 26270-2024")</f>
        <v/>
      </c>
      <c r="Y13">
        <f>HYPERLINK("https://klasma.github.io/Logging_1497/kartor_geotiff/A 26270-2024 georefererad karta.tif", "A 26270-2024")</f>
        <v/>
      </c>
      <c r="AA13">
        <f>HYPERLINK("https://klasma.github.io/Logging_1497/klagomål/A 26270-2024 FSC-klagomål.docx", "A 26270-2024")</f>
        <v/>
      </c>
      <c r="AB13">
        <f>HYPERLINK("https://klasma.github.io/Logging_1497/klagomålsmail/A 26270-2024 FSC-klagomål mail.docx", "A 26270-2024")</f>
        <v/>
      </c>
      <c r="AC13">
        <f>HYPERLINK("https://klasma.github.io/Logging_1497/tillsyn/A 26270-2024 tillsynsbegäran.docx", "A 26270-2024")</f>
        <v/>
      </c>
      <c r="AD13">
        <f>HYPERLINK("https://klasma.github.io/Logging_1497/tillsynsmail/A 26270-2024 tillsynsbegäran mail.docx", "A 26270-2024")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46320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46320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46320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46320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46320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46320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46320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46320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46320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46320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46320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46320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46320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46320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46320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46320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46320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46320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46320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46320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46320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46320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46320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46320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46320</v>
      </c>
      <c r="F38" t="inlineStr">
        <is>
          <t>VÄSTRA GÖTALANDS LÄN</t>
        </is>
      </c>
      <c r="G38" t="inlineStr">
        <is>
          <t>HJO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46320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44684-2023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45186</v>
      </c>
      <c r="E40" s="1" t="n">
        <v>46320</v>
      </c>
      <c r="F40" t="inlineStr">
        <is>
          <t>VÄSTRA GÖTALANDS LÄN</t>
        </is>
      </c>
      <c r="G40" t="inlineStr">
        <is>
          <t>HJO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44963</v>
      </c>
      <c r="E41" s="1" t="n">
        <v>46320</v>
      </c>
      <c r="F41" t="inlineStr">
        <is>
          <t>VÄSTRA GÖTALANDS LÄN</t>
        </is>
      </c>
      <c r="G41" t="inlineStr">
        <is>
          <t>HJO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46320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46320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45010</v>
      </c>
      <c r="E44" s="1" t="n">
        <v>46320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46320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46320</v>
      </c>
      <c r="F46" t="inlineStr">
        <is>
          <t>VÄSTRA GÖTALANDS LÄN</t>
        </is>
      </c>
      <c r="G46" t="inlineStr">
        <is>
          <t>HJO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46320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44616</v>
      </c>
      <c r="E48" s="1" t="n">
        <v>46320</v>
      </c>
      <c r="F48" t="inlineStr">
        <is>
          <t>VÄSTRA GÖTALANDS LÄN</t>
        </is>
      </c>
      <c r="G48" t="inlineStr">
        <is>
          <t>HJO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70743-2021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46320</v>
      </c>
      <c r="F49" t="inlineStr">
        <is>
          <t>VÄSTRA GÖTALANDS LÄN</t>
        </is>
      </c>
      <c r="G49" t="inlineStr">
        <is>
          <t>HJO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45621</v>
      </c>
      <c r="E50" s="1" t="n">
        <v>46320</v>
      </c>
      <c r="F50" t="inlineStr">
        <is>
          <t>VÄSTRA GÖTALANDS LÄN</t>
        </is>
      </c>
      <c r="G50" t="inlineStr">
        <is>
          <t>HJO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46320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46320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45742-2025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45923</v>
      </c>
      <c r="E53" s="1" t="n">
        <v>46320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45923</v>
      </c>
      <c r="E54" s="1" t="n">
        <v>46320</v>
      </c>
      <c r="F54" t="inlineStr">
        <is>
          <t>VÄSTRA GÖTALANDS LÄN</t>
        </is>
      </c>
      <c r="G54" t="inlineStr">
        <is>
          <t>HJO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44614</v>
      </c>
      <c r="E55" s="1" t="n">
        <v>46320</v>
      </c>
      <c r="F55" t="inlineStr">
        <is>
          <t>VÄSTRA GÖTALANDS LÄN</t>
        </is>
      </c>
      <c r="G55" t="inlineStr">
        <is>
          <t>HJO</t>
        </is>
      </c>
      <c r="H55" t="inlineStr">
        <is>
          <t>Kyrkan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45009</v>
      </c>
      <c r="E56" s="1" t="n">
        <v>46320</v>
      </c>
      <c r="F56" t="inlineStr">
        <is>
          <t>VÄSTRA GÖTALANDS LÄN</t>
        </is>
      </c>
      <c r="G56" t="inlineStr">
        <is>
          <t>HJO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45938</v>
      </c>
      <c r="E57" s="1" t="n">
        <v>46320</v>
      </c>
      <c r="F57" t="inlineStr">
        <is>
          <t>VÄSTRA GÖTALANDS LÄN</t>
        </is>
      </c>
      <c r="G57" t="inlineStr">
        <is>
          <t>HJO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39538-2023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45167</v>
      </c>
      <c r="E58" s="1" t="n">
        <v>46320</v>
      </c>
      <c r="F58" t="inlineStr">
        <is>
          <t>VÄSTRA GÖTALANDS LÄN</t>
        </is>
      </c>
      <c r="G58" t="inlineStr">
        <is>
          <t>HJO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45146</v>
      </c>
      <c r="E59" s="1" t="n">
        <v>46320</v>
      </c>
      <c r="F59" t="inlineStr">
        <is>
          <t>VÄSTRA GÖTALANDS LÄN</t>
        </is>
      </c>
      <c r="G59" t="inlineStr">
        <is>
          <t>HJO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46320</v>
      </c>
      <c r="F60" t="inlineStr">
        <is>
          <t>VÄSTRA GÖTALANDS LÄN</t>
        </is>
      </c>
      <c r="G60" t="inlineStr">
        <is>
          <t>HJO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46320</v>
      </c>
      <c r="F61" t="inlineStr">
        <is>
          <t>VÄSTRA GÖTALANDS LÄN</t>
        </is>
      </c>
      <c r="G61" t="inlineStr">
        <is>
          <t>HJO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46320</v>
      </c>
      <c r="F62" t="inlineStr">
        <is>
          <t>VÄSTRA GÖTALANDS LÄN</t>
        </is>
      </c>
      <c r="G62" t="inlineStr">
        <is>
          <t>HJO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46320</v>
      </c>
      <c r="F63" t="inlineStr">
        <is>
          <t>VÄSTRA GÖTALANDS LÄN</t>
        </is>
      </c>
      <c r="G63" t="inlineStr">
        <is>
          <t>HJO</t>
        </is>
      </c>
      <c r="H63" t="inlineStr">
        <is>
          <t>Övriga Aktiebolag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46320</v>
      </c>
      <c r="F64" t="inlineStr">
        <is>
          <t>VÄSTRA GÖTALANDS LÄN</t>
        </is>
      </c>
      <c r="G64" t="inlineStr">
        <is>
          <t>HJO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46320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46320</v>
      </c>
      <c r="F66" t="inlineStr">
        <is>
          <t>VÄSTRA GÖTALANDS LÄN</t>
        </is>
      </c>
      <c r="G66" t="inlineStr">
        <is>
          <t>HJO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46320</v>
      </c>
      <c r="F67" t="inlineStr">
        <is>
          <t>VÄSTRA GÖTALANDS LÄN</t>
        </is>
      </c>
      <c r="G67" t="inlineStr">
        <is>
          <t>HJO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44980</v>
      </c>
      <c r="E68" s="1" t="n">
        <v>46320</v>
      </c>
      <c r="F68" t="inlineStr">
        <is>
          <t>VÄSTRA GÖTALANDS LÄN</t>
        </is>
      </c>
      <c r="G68" t="inlineStr">
        <is>
          <t>HJO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46320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44560</v>
      </c>
      <c r="E70" s="1" t="n">
        <v>46320</v>
      </c>
      <c r="F70" t="inlineStr">
        <is>
          <t>VÄSTRA GÖTALANDS LÄN</t>
        </is>
      </c>
      <c r="G70" t="inlineStr">
        <is>
          <t>HJO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46320</v>
      </c>
      <c r="F71" t="inlineStr">
        <is>
          <t>VÄSTRA GÖTALANDS LÄN</t>
        </is>
      </c>
      <c r="G71" t="inlineStr">
        <is>
          <t>HJO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46320</v>
      </c>
      <c r="F72" t="inlineStr">
        <is>
          <t>VÄSTRA GÖTALANDS LÄN</t>
        </is>
      </c>
      <c r="G72" t="inlineStr">
        <is>
          <t>HJO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46320</v>
      </c>
      <c r="F73" t="inlineStr">
        <is>
          <t>VÄSTRA GÖTALANDS LÄN</t>
        </is>
      </c>
      <c r="G73" t="inlineStr">
        <is>
          <t>HJO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45485</v>
      </c>
      <c r="E74" s="1" t="n">
        <v>46320</v>
      </c>
      <c r="F74" t="inlineStr">
        <is>
          <t>VÄSTRA GÖTALANDS LÄN</t>
        </is>
      </c>
      <c r="G74" t="inlineStr">
        <is>
          <t>HJO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46320</v>
      </c>
      <c r="F75" t="inlineStr">
        <is>
          <t>VÄSTRA GÖTALANDS LÄN</t>
        </is>
      </c>
      <c r="G75" t="inlineStr">
        <is>
          <t>HJO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45993</v>
      </c>
      <c r="E76" s="1" t="n">
        <v>46320</v>
      </c>
      <c r="F76" t="inlineStr">
        <is>
          <t>VÄSTRA GÖTALANDS LÄN</t>
        </is>
      </c>
      <c r="G76" t="inlineStr">
        <is>
          <t>HJO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46320</v>
      </c>
      <c r="F77" t="inlineStr">
        <is>
          <t>VÄSTRA GÖTALANDS LÄN</t>
        </is>
      </c>
      <c r="G77" t="inlineStr">
        <is>
          <t>HJO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45553</v>
      </c>
      <c r="E78" s="1" t="n">
        <v>46320</v>
      </c>
      <c r="F78" t="inlineStr">
        <is>
          <t>VÄSTRA GÖTALANDS LÄN</t>
        </is>
      </c>
      <c r="G78" t="inlineStr">
        <is>
          <t>HJO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46320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46320</v>
      </c>
      <c r="F80" t="inlineStr">
        <is>
          <t>VÄSTRA GÖTALANDS LÄN</t>
        </is>
      </c>
      <c r="G80" t="inlineStr">
        <is>
          <t>HJO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46320</v>
      </c>
      <c r="F81" t="inlineStr">
        <is>
          <t>VÄSTRA GÖTALANDS LÄN</t>
        </is>
      </c>
      <c r="G81" t="inlineStr">
        <is>
          <t>HJO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46019</v>
      </c>
      <c r="E82" s="1" t="n">
        <v>46320</v>
      </c>
      <c r="F82" t="inlineStr">
        <is>
          <t>VÄSTRA GÖTALANDS LÄN</t>
        </is>
      </c>
      <c r="G82" t="inlineStr">
        <is>
          <t>HJO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46320</v>
      </c>
      <c r="F83" t="inlineStr">
        <is>
          <t>VÄSTRA GÖTALANDS LÄN</t>
        </is>
      </c>
      <c r="G83" t="inlineStr">
        <is>
          <t>HJO</t>
        </is>
      </c>
      <c r="H83" t="inlineStr">
        <is>
          <t>Övriga Aktiebolag</t>
        </is>
      </c>
      <c r="I83" t="n">
        <v>12.7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8145-2024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45351</v>
      </c>
      <c r="E84" s="1" t="n">
        <v>46320</v>
      </c>
      <c r="F84" t="inlineStr">
        <is>
          <t>VÄSTRA GÖTALANDS LÄN</t>
        </is>
      </c>
      <c r="G84" t="inlineStr">
        <is>
          <t>HJO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46320</v>
      </c>
      <c r="F85" t="inlineStr">
        <is>
          <t>VÄSTRA GÖTALANDS LÄN</t>
        </is>
      </c>
      <c r="G85" t="inlineStr">
        <is>
          <t>HJO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60414-2024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46320</v>
      </c>
      <c r="F86" t="inlineStr">
        <is>
          <t>VÄSTRA GÖTALANDS LÄN</t>
        </is>
      </c>
      <c r="G86" t="inlineStr">
        <is>
          <t>HJO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32914-2026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46320</v>
      </c>
      <c r="F87" t="inlineStr">
        <is>
          <t>VÄSTRA GÖTALANDS LÄN</t>
        </is>
      </c>
      <c r="G87" t="inlineStr">
        <is>
          <t>HJO</t>
        </is>
      </c>
      <c r="H87" t="inlineStr">
        <is>
          <t>Övriga Aktiebolag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46244</v>
      </c>
      <c r="E88" s="1" t="n">
        <v>46320</v>
      </c>
      <c r="F88" t="inlineStr">
        <is>
          <t>VÄSTRA GÖTALANDS LÄN</t>
        </is>
      </c>
      <c r="G88" t="inlineStr">
        <is>
          <t>HJO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46320</v>
      </c>
      <c r="F89" t="inlineStr">
        <is>
          <t>VÄSTRA GÖTALANDS LÄN</t>
        </is>
      </c>
      <c r="G89" t="inlineStr">
        <is>
          <t>HJO</t>
        </is>
      </c>
      <c r="H89" t="inlineStr">
        <is>
          <t>Övriga Aktiebolag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46320</v>
      </c>
      <c r="F90" t="inlineStr">
        <is>
          <t>VÄSTRA GÖTALANDS LÄN</t>
        </is>
      </c>
      <c r="G90" t="inlineStr">
        <is>
          <t>HJO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39246-2026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46288</v>
      </c>
      <c r="E91" s="1" t="n">
        <v>46320</v>
      </c>
      <c r="F91" t="inlineStr">
        <is>
          <t>VÄSTRA GÖTALANDS LÄN</t>
        </is>
      </c>
      <c r="G91" t="inlineStr">
        <is>
          <t>HJO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46288</v>
      </c>
      <c r="E92" s="1" t="n">
        <v>46320</v>
      </c>
      <c r="F92" t="inlineStr">
        <is>
          <t>VÄSTRA GÖTALANDS LÄN</t>
        </is>
      </c>
      <c r="G92" t="inlineStr">
        <is>
          <t>HJO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46320</v>
      </c>
      <c r="F93" t="inlineStr">
        <is>
          <t>VÄSTRA GÖTALANDS LÄN</t>
        </is>
      </c>
      <c r="G93" t="inlineStr">
        <is>
          <t>HJO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46320</v>
      </c>
      <c r="F94" t="inlineStr">
        <is>
          <t>VÄSTRA GÖTALANDS LÄN</t>
        </is>
      </c>
      <c r="G94" t="inlineStr">
        <is>
          <t>HJO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46056</v>
      </c>
      <c r="E95" s="1" t="n">
        <v>46320</v>
      </c>
      <c r="F95" t="inlineStr">
        <is>
          <t>VÄSTRA GÖTALANDS LÄN</t>
        </is>
      </c>
      <c r="G95" t="inlineStr">
        <is>
          <t>HJO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46320</v>
      </c>
      <c r="F96" t="inlineStr">
        <is>
          <t>VÄSTRA GÖTALANDS LÄN</t>
        </is>
      </c>
      <c r="G96" t="inlineStr">
        <is>
          <t>HJO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6705-2026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46056</v>
      </c>
      <c r="E97" s="1" t="n">
        <v>46320</v>
      </c>
      <c r="F97" t="inlineStr">
        <is>
          <t>VÄSTRA GÖTALANDS LÄN</t>
        </is>
      </c>
      <c r="G97" t="inlineStr">
        <is>
          <t>HJO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46252</v>
      </c>
      <c r="E98" s="1" t="n">
        <v>46320</v>
      </c>
      <c r="F98" t="inlineStr">
        <is>
          <t>VÄSTRA GÖTALANDS LÄN</t>
        </is>
      </c>
      <c r="G98" t="inlineStr">
        <is>
          <t>HJO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46320</v>
      </c>
      <c r="F99" t="inlineStr">
        <is>
          <t>VÄSTRA GÖTALANDS LÄN</t>
        </is>
      </c>
      <c r="G99" t="inlineStr">
        <is>
          <t>HJO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46320</v>
      </c>
      <c r="F100" t="inlineStr">
        <is>
          <t>VÄSTRA GÖTALANDS LÄN</t>
        </is>
      </c>
      <c r="G100" t="inlineStr">
        <is>
          <t>HJO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32961-2026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46320</v>
      </c>
      <c r="F101" t="inlineStr">
        <is>
          <t>VÄSTRA GÖTALANDS LÄN</t>
        </is>
      </c>
      <c r="G101" t="inlineStr">
        <is>
          <t>HJO</t>
        </is>
      </c>
      <c r="H101" t="inlineStr">
        <is>
          <t>Övriga Aktiebolag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46086</v>
      </c>
      <c r="E102" s="1" t="n">
        <v>46320</v>
      </c>
      <c r="F102" t="inlineStr">
        <is>
          <t>VÄSTRA GÖTALANDS LÄN</t>
        </is>
      </c>
      <c r="G102" t="inlineStr">
        <is>
          <t>HJO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46244</v>
      </c>
      <c r="E103" s="1" t="n">
        <v>46320</v>
      </c>
      <c r="F103" t="inlineStr">
        <is>
          <t>VÄSTRA GÖTALANDS LÄN</t>
        </is>
      </c>
      <c r="G103" t="inlineStr">
        <is>
          <t>HJO</t>
        </is>
      </c>
      <c r="H103" t="inlineStr">
        <is>
          <t>Övriga Aktiebolag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46320</v>
      </c>
      <c r="F104" t="inlineStr">
        <is>
          <t>VÄSTRA GÖTALANDS LÄN</t>
        </is>
      </c>
      <c r="G104" t="inlineStr">
        <is>
          <t>HJO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46320</v>
      </c>
      <c r="F105" t="inlineStr">
        <is>
          <t>VÄSTRA GÖTALANDS LÄN</t>
        </is>
      </c>
      <c r="G105" t="inlineStr">
        <is>
          <t>HJO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46288</v>
      </c>
      <c r="E106" s="1" t="n">
        <v>46320</v>
      </c>
      <c r="F106" t="inlineStr">
        <is>
          <t>VÄSTRA GÖTALANDS LÄN</t>
        </is>
      </c>
      <c r="G106" t="inlineStr">
        <is>
          <t>HJO</t>
        </is>
      </c>
      <c r="H106" t="inlineStr">
        <is>
          <t>Övriga Aktiebolag</t>
        </is>
      </c>
      <c r="I106" t="n">
        <v>11.7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46320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15019-2026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46104</v>
      </c>
      <c r="E108" s="1" t="n">
        <v>46320</v>
      </c>
      <c r="F108" t="inlineStr">
        <is>
          <t>VÄSTRA GÖTALANDS LÄN</t>
        </is>
      </c>
      <c r="G108" t="inlineStr">
        <is>
          <t>HJO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45854</v>
      </c>
      <c r="E109" s="1" t="n">
        <v>46320</v>
      </c>
      <c r="F109" t="inlineStr">
        <is>
          <t>VÄSTRA GÖTALANDS LÄN</t>
        </is>
      </c>
      <c r="G109" t="inlineStr">
        <is>
          <t>HJO</t>
        </is>
      </c>
      <c r="H109" t="inlineStr">
        <is>
          <t>Sveaskog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46320</v>
      </c>
      <c r="F110" t="inlineStr">
        <is>
          <t>VÄSTRA GÖTALANDS LÄN</t>
        </is>
      </c>
      <c r="G110" t="inlineStr">
        <is>
          <t>HJO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46302</v>
      </c>
      <c r="E111" s="1" t="n">
        <v>46320</v>
      </c>
      <c r="F111" t="inlineStr">
        <is>
          <t>VÄSTRA GÖTALANDS LÄN</t>
        </is>
      </c>
      <c r="G111" t="inlineStr">
        <is>
          <t>HJO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35592-2026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46262</v>
      </c>
      <c r="E112" s="1" t="n">
        <v>46320</v>
      </c>
      <c r="F112" t="inlineStr">
        <is>
          <t>VÄSTRA GÖTALANDS LÄN</t>
        </is>
      </c>
      <c r="G112" t="inlineStr">
        <is>
          <t>HJO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62233-2022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44922</v>
      </c>
      <c r="E113" s="1" t="n">
        <v>46320</v>
      </c>
      <c r="F113" t="inlineStr">
        <is>
          <t>VÄSTRA GÖTALANDS LÄN</t>
        </is>
      </c>
      <c r="G113" t="inlineStr">
        <is>
          <t>HJO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46320</v>
      </c>
      <c r="F114" t="inlineStr">
        <is>
          <t>VÄSTRA GÖTALANDS LÄN</t>
        </is>
      </c>
      <c r="G114" t="inlineStr">
        <is>
          <t>HJO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46320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42583-2026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46308</v>
      </c>
      <c r="E116" s="1" t="n">
        <v>46320</v>
      </c>
      <c r="F116" t="inlineStr">
        <is>
          <t>VÄSTRA GÖTALANDS LÄN</t>
        </is>
      </c>
      <c r="G116" t="inlineStr">
        <is>
          <t>HJO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42883-2026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46310</v>
      </c>
      <c r="E117" s="1" t="n">
        <v>46320</v>
      </c>
      <c r="F117" t="inlineStr">
        <is>
          <t>VÄSTRA GÖTALANDS LÄN</t>
        </is>
      </c>
      <c r="G117" t="inlineStr">
        <is>
          <t>HJO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46320</v>
      </c>
      <c r="F118" t="inlineStr">
        <is>
          <t>VÄSTRA GÖTALANDS LÄN</t>
        </is>
      </c>
      <c r="G118" t="inlineStr">
        <is>
          <t>HJO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46320</v>
      </c>
      <c r="F119" t="inlineStr">
        <is>
          <t>VÄSTRA GÖTALANDS LÄN</t>
        </is>
      </c>
      <c r="G119" t="inlineStr">
        <is>
          <t>HJO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46320</v>
      </c>
      <c r="F120" t="inlineStr">
        <is>
          <t>VÄSTRA GÖTALANDS LÄN</t>
        </is>
      </c>
      <c r="G120" t="inlineStr">
        <is>
          <t>HJO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46320</v>
      </c>
      <c r="F121" t="inlineStr">
        <is>
          <t>VÄSTRA GÖTALANDS LÄN</t>
        </is>
      </c>
      <c r="G121" t="inlineStr">
        <is>
          <t>HJO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46320</v>
      </c>
      <c r="F122" t="inlineStr">
        <is>
          <t>VÄSTRA GÖTALANDS LÄN</t>
        </is>
      </c>
      <c r="G122" t="inlineStr">
        <is>
          <t>HJO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46320</v>
      </c>
      <c r="F123" t="inlineStr">
        <is>
          <t>VÄSTRA GÖTALANDS LÄN</t>
        </is>
      </c>
      <c r="G123" t="inlineStr">
        <is>
          <t>HJO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46520-2023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45197</v>
      </c>
      <c r="E124" s="1" t="n">
        <v>46320</v>
      </c>
      <c r="F124" t="inlineStr">
        <is>
          <t>VÄSTRA GÖTALANDS LÄN</t>
        </is>
      </c>
      <c r="G124" t="inlineStr">
        <is>
          <t>HJO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46320</v>
      </c>
      <c r="F125" t="inlineStr">
        <is>
          <t>VÄSTRA GÖTALANDS LÄN</t>
        </is>
      </c>
      <c r="G125" t="inlineStr">
        <is>
          <t>HJO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46320</v>
      </c>
      <c r="F126" t="inlineStr">
        <is>
          <t>VÄSTRA GÖTALANDS LÄN</t>
        </is>
      </c>
      <c r="G126" t="inlineStr">
        <is>
          <t>HJO</t>
        </is>
      </c>
      <c r="H126" t="inlineStr">
        <is>
          <t>Övriga Aktiebolag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46320</v>
      </c>
      <c r="F127" t="inlineStr">
        <is>
          <t>VÄSTRA GÖTALANDS LÄN</t>
        </is>
      </c>
      <c r="G127" t="inlineStr">
        <is>
          <t>HJO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44181-2026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46318</v>
      </c>
      <c r="E128" s="1" t="n">
        <v>46320</v>
      </c>
      <c r="F128" t="inlineStr">
        <is>
          <t>VÄSTRA GÖTALANDS LÄN</t>
        </is>
      </c>
      <c r="G128" t="inlineStr">
        <is>
          <t>HJO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46318</v>
      </c>
      <c r="E129" s="1" t="n">
        <v>46320</v>
      </c>
      <c r="F129" t="inlineStr">
        <is>
          <t>VÄSTRA GÖTALANDS LÄN</t>
        </is>
      </c>
      <c r="G129" t="inlineStr">
        <is>
          <t>HJO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46320</v>
      </c>
      <c r="F130" t="inlineStr">
        <is>
          <t>VÄSTRA GÖTALANDS LÄN</t>
        </is>
      </c>
      <c r="G130" t="inlineStr">
        <is>
          <t>HJO</t>
        </is>
      </c>
      <c r="H130" t="inlineStr">
        <is>
          <t>Sveaskog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46320</v>
      </c>
      <c r="F131" t="inlineStr">
        <is>
          <t>VÄSTRA GÖTALANDS LÄN</t>
        </is>
      </c>
      <c r="G131" t="inlineStr">
        <is>
          <t>HJO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46320</v>
      </c>
      <c r="F132" t="inlineStr">
        <is>
          <t>VÄSTRA GÖTALANDS LÄN</t>
        </is>
      </c>
      <c r="G132" t="inlineStr">
        <is>
          <t>HJO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45573</v>
      </c>
      <c r="E133" s="1" t="n">
        <v>46320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46320</v>
      </c>
      <c r="F134" t="inlineStr">
        <is>
          <t>VÄSTRA GÖTALANDS LÄN</t>
        </is>
      </c>
      <c r="G134" t="inlineStr">
        <is>
          <t>HJO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46320</v>
      </c>
      <c r="F135" t="inlineStr">
        <is>
          <t>VÄSTRA GÖTALANDS LÄN</t>
        </is>
      </c>
      <c r="G135" t="inlineStr">
        <is>
          <t>HJO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46320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46320</v>
      </c>
      <c r="F137" t="inlineStr">
        <is>
          <t>VÄSTRA GÖTALANDS LÄN</t>
        </is>
      </c>
      <c r="G137" t="inlineStr">
        <is>
          <t>HJO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45602</v>
      </c>
      <c r="E138" s="1" t="n">
        <v>46320</v>
      </c>
      <c r="F138" t="inlineStr">
        <is>
          <t>VÄSTRA GÖTALANDS LÄN</t>
        </is>
      </c>
      <c r="G138" t="inlineStr">
        <is>
          <t>HJO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45142</v>
      </c>
      <c r="E139" s="1" t="n">
        <v>46320</v>
      </c>
      <c r="F139" t="inlineStr">
        <is>
          <t>VÄSTRA GÖTALANDS LÄN</t>
        </is>
      </c>
      <c r="G139" t="inlineStr">
        <is>
          <t>HJO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46320</v>
      </c>
      <c r="F140" t="inlineStr">
        <is>
          <t>VÄSTRA GÖTALANDS LÄN</t>
        </is>
      </c>
      <c r="G140" t="inlineStr">
        <is>
          <t>HJO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46320</v>
      </c>
      <c r="F141" t="inlineStr">
        <is>
          <t>VÄSTRA GÖTALANDS LÄN</t>
        </is>
      </c>
      <c r="G141" t="inlineStr">
        <is>
          <t>HJO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29596-2024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45484</v>
      </c>
      <c r="E142" s="1" t="n">
        <v>46320</v>
      </c>
      <c r="F142" t="inlineStr">
        <is>
          <t>VÄSTRA GÖTALANDS LÄN</t>
        </is>
      </c>
      <c r="G142" t="inlineStr">
        <is>
          <t>HJO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45028</v>
      </c>
      <c r="E143" s="1" t="n">
        <v>46320</v>
      </c>
      <c r="F143" t="inlineStr">
        <is>
          <t>VÄSTRA GÖTALANDS LÄN</t>
        </is>
      </c>
      <c r="G143" t="inlineStr">
        <is>
          <t>HJO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46320</v>
      </c>
      <c r="F144" t="inlineStr">
        <is>
          <t>VÄSTRA GÖTALANDS LÄN</t>
        </is>
      </c>
      <c r="G144" t="inlineStr">
        <is>
          <t>HJO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46320</v>
      </c>
      <c r="F145" t="inlineStr">
        <is>
          <t>VÄSTRA GÖTALANDS LÄN</t>
        </is>
      </c>
      <c r="G145" t="inlineStr">
        <is>
          <t>HJO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45369</v>
      </c>
      <c r="E146" s="1" t="n">
        <v>46320</v>
      </c>
      <c r="F146" t="inlineStr">
        <is>
          <t>VÄSTRA GÖTALANDS LÄN</t>
        </is>
      </c>
      <c r="G146" t="inlineStr">
        <is>
          <t>HJO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46320</v>
      </c>
      <c r="F147" t="inlineStr">
        <is>
          <t>VÄSTRA GÖTALANDS LÄN</t>
        </is>
      </c>
      <c r="G147" t="inlineStr">
        <is>
          <t>HJO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46320</v>
      </c>
      <c r="F148" t="inlineStr">
        <is>
          <t>VÄSTRA GÖTALANDS LÄN</t>
        </is>
      </c>
      <c r="G148" t="inlineStr">
        <is>
          <t>HJO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46320</v>
      </c>
      <c r="F149" t="inlineStr">
        <is>
          <t>VÄSTRA GÖTALANDS LÄN</t>
        </is>
      </c>
      <c r="G149" t="inlineStr">
        <is>
          <t>HJO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46320</v>
      </c>
      <c r="F150" t="inlineStr">
        <is>
          <t>VÄSTRA GÖTALANDS LÄN</t>
        </is>
      </c>
      <c r="G150" t="inlineStr">
        <is>
          <t>HJO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45557</v>
      </c>
      <c r="E151" s="1" t="n">
        <v>46320</v>
      </c>
      <c r="F151" t="inlineStr">
        <is>
          <t>VÄSTRA GÖTALANDS LÄN</t>
        </is>
      </c>
      <c r="G151" t="inlineStr">
        <is>
          <t>HJO</t>
        </is>
      </c>
      <c r="I151" t="n">
        <v>11.5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46320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46320</v>
      </c>
      <c r="F153" t="inlineStr">
        <is>
          <t>VÄSTRA GÖTALANDS LÄN</t>
        </is>
      </c>
      <c r="G153" t="inlineStr">
        <is>
          <t>HJO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46320</v>
      </c>
      <c r="F154" t="inlineStr">
        <is>
          <t>VÄSTRA GÖTALANDS LÄN</t>
        </is>
      </c>
      <c r="G154" t="inlineStr">
        <is>
          <t>HJO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46320</v>
      </c>
      <c r="F155" t="inlineStr">
        <is>
          <t>VÄSTRA GÖTALANDS LÄN</t>
        </is>
      </c>
      <c r="G155" t="inlineStr">
        <is>
          <t>HJO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46320</v>
      </c>
      <c r="F156" t="inlineStr">
        <is>
          <t>VÄSTRA GÖTALANDS LÄN</t>
        </is>
      </c>
      <c r="G156" t="inlineStr">
        <is>
          <t>HJO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46320</v>
      </c>
      <c r="F157" t="inlineStr">
        <is>
          <t>VÄSTRA GÖTALANDS LÄN</t>
        </is>
      </c>
      <c r="G157" t="inlineStr">
        <is>
          <t>HJO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46320</v>
      </c>
      <c r="F158" t="inlineStr">
        <is>
          <t>VÄSTRA GÖTALANDS LÄN</t>
        </is>
      </c>
      <c r="G158" t="inlineStr">
        <is>
          <t>HJO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46320</v>
      </c>
      <c r="F159" t="inlineStr">
        <is>
          <t>VÄSTRA GÖTALANDS LÄN</t>
        </is>
      </c>
      <c r="G159" t="inlineStr">
        <is>
          <t>HJO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46320</v>
      </c>
      <c r="F160" t="inlineStr">
        <is>
          <t>VÄSTRA GÖTALANDS LÄN</t>
        </is>
      </c>
      <c r="G160" t="inlineStr">
        <is>
          <t>HJO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46320</v>
      </c>
      <c r="F161" t="inlineStr">
        <is>
          <t>VÄSTRA GÖTALANDS LÄN</t>
        </is>
      </c>
      <c r="G161" t="inlineStr">
        <is>
          <t>HJO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46320</v>
      </c>
      <c r="F162" t="inlineStr">
        <is>
          <t>VÄSTRA GÖTALANDS LÄN</t>
        </is>
      </c>
      <c r="G162" t="inlineStr">
        <is>
          <t>HJO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44963</v>
      </c>
      <c r="E163" s="1" t="n">
        <v>46320</v>
      </c>
      <c r="F163" t="inlineStr">
        <is>
          <t>VÄSTRA GÖTALANDS LÄN</t>
        </is>
      </c>
      <c r="G163" t="inlineStr">
        <is>
          <t>HJO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44745</v>
      </c>
      <c r="E164" s="1" t="n">
        <v>46320</v>
      </c>
      <c r="F164" t="inlineStr">
        <is>
          <t>VÄSTRA GÖTALANDS LÄN</t>
        </is>
      </c>
      <c r="G164" t="inlineStr">
        <is>
          <t>HJO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46320</v>
      </c>
      <c r="F165" t="inlineStr">
        <is>
          <t>VÄSTRA GÖTALANDS LÄN</t>
        </is>
      </c>
      <c r="G165" t="inlineStr">
        <is>
          <t>HJO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967-2022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44607</v>
      </c>
      <c r="E166" s="1" t="n">
        <v>46320</v>
      </c>
      <c r="F166" t="inlineStr">
        <is>
          <t>VÄSTRA GÖTALANDS LÄN</t>
        </is>
      </c>
      <c r="G166" t="inlineStr">
        <is>
          <t>HJO</t>
        </is>
      </c>
      <c r="H166" t="inlineStr">
        <is>
          <t>Sveaskog</t>
        </is>
      </c>
      <c r="I166" t="n">
        <v>151.6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3584-2022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44735</v>
      </c>
      <c r="E167" s="1" t="n">
        <v>46320</v>
      </c>
      <c r="F167" t="inlineStr">
        <is>
          <t>VÄSTRA GÖTALANDS LÄN</t>
        </is>
      </c>
      <c r="G167" t="inlineStr">
        <is>
          <t>HJO</t>
        </is>
      </c>
      <c r="I167" t="n">
        <v>28.7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2026-10-25T02:04:44Z</dcterms:created>
  <dcterms:modified xmlns:dcterms="http://purl.org/dc/terms/" xmlns:xsi="http://www.w3.org/2001/XMLSchema-instance" xsi:type="dcterms:W3CDTF">2026-10-25T02:04:45Z</dcterms:modified>
</cp:coreProperties>
</file>