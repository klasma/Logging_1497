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45344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7017-2019</t>
        </is>
      </c>
      <c r="B3" s="1" t="n">
        <v>43495</v>
      </c>
      <c r="C3" s="1" t="n">
        <v>45344</v>
      </c>
      <c r="D3" t="inlineStr">
        <is>
          <t>VÄSTRA GÖTALANDS LÄN</t>
        </is>
      </c>
      <c r="E3" t="inlineStr">
        <is>
          <t>HJO</t>
        </is>
      </c>
      <c r="F3" t="inlineStr">
        <is>
          <t>Kyrkan</t>
        </is>
      </c>
      <c r="G3" t="n">
        <v>3.4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Knärot</t>
        </is>
      </c>
      <c r="S3">
        <f>HYPERLINK("https://klasma.github.io/Logging_1497/artfynd/A 7017-2019 artfynd.xlsx", "A 7017-2019")</f>
        <v/>
      </c>
      <c r="T3">
        <f>HYPERLINK("https://klasma.github.io/Logging_1497/kartor/A 7017-2019 karta.png", "A 7017-2019")</f>
        <v/>
      </c>
      <c r="U3">
        <f>HYPERLINK("https://klasma.github.io/Logging_1497/knärot/A 7017-2019 karta knärot.png", "A 7017-2019")</f>
        <v/>
      </c>
      <c r="V3">
        <f>HYPERLINK("https://klasma.github.io/Logging_1497/klagomål/A 7017-2019 FSC-klagomål.docx", "A 7017-2019")</f>
        <v/>
      </c>
      <c r="W3">
        <f>HYPERLINK("https://klasma.github.io/Logging_1497/klagomålsmail/A 7017-2019 FSC-klagomål mail.docx", "A 7017-2019")</f>
        <v/>
      </c>
      <c r="X3">
        <f>HYPERLINK("https://klasma.github.io/Logging_1497/tillsyn/A 7017-2019 tillsynsbegäran.docx", "A 7017-2019")</f>
        <v/>
      </c>
      <c r="Y3">
        <f>HYPERLINK("https://klasma.github.io/Logging_1497/tillsynsmail/A 7017-2019 tillsynsbegäran mail.docx", "A 7017-2019")</f>
        <v/>
      </c>
    </row>
    <row r="4" ht="15" customHeight="1">
      <c r="A4" t="inlineStr">
        <is>
          <t>A 26314-2019</t>
        </is>
      </c>
      <c r="B4" s="1" t="n">
        <v>43612</v>
      </c>
      <c r="C4" s="1" t="n">
        <v>45344</v>
      </c>
      <c r="D4" t="inlineStr">
        <is>
          <t>VÄSTRA GÖTALANDS LÄN</t>
        </is>
      </c>
      <c r="E4" t="inlineStr">
        <is>
          <t>HJO</t>
        </is>
      </c>
      <c r="F4" t="inlineStr">
        <is>
          <t>Sveaskog</t>
        </is>
      </c>
      <c r="G4" t="n">
        <v>2.3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Vanlig snok</t>
        </is>
      </c>
      <c r="S4">
        <f>HYPERLINK("https://klasma.github.io/Logging_1497/artfynd/A 26314-2019 artfynd.xlsx", "A 26314-2019")</f>
        <v/>
      </c>
      <c r="T4">
        <f>HYPERLINK("https://klasma.github.io/Logging_1497/kartor/A 26314-2019 karta.png", "A 26314-2019")</f>
        <v/>
      </c>
      <c r="V4">
        <f>HYPERLINK("https://klasma.github.io/Logging_1497/klagomål/A 26314-2019 FSC-klagomål.docx", "A 26314-2019")</f>
        <v/>
      </c>
      <c r="W4">
        <f>HYPERLINK("https://klasma.github.io/Logging_1497/klagomålsmail/A 26314-2019 FSC-klagomål mail.docx", "A 26314-2019")</f>
        <v/>
      </c>
      <c r="X4">
        <f>HYPERLINK("https://klasma.github.io/Logging_1497/tillsyn/A 26314-2019 tillsynsbegäran.docx", "A 26314-2019")</f>
        <v/>
      </c>
      <c r="Y4">
        <f>HYPERLINK("https://klasma.github.io/Logging_1497/tillsynsmail/A 26314-2019 tillsynsbegäran mail.docx", "A 26314-2019")</f>
        <v/>
      </c>
    </row>
    <row r="5" ht="15" customHeight="1">
      <c r="A5" t="inlineStr">
        <is>
          <t>A 47520-2019</t>
        </is>
      </c>
      <c r="B5" s="1" t="n">
        <v>43724</v>
      </c>
      <c r="C5" s="1" t="n">
        <v>45344</v>
      </c>
      <c r="D5" t="inlineStr">
        <is>
          <t>VÄSTRA GÖTALANDS LÄN</t>
        </is>
      </c>
      <c r="E5" t="inlineStr">
        <is>
          <t>HJO</t>
        </is>
      </c>
      <c r="G5" t="n">
        <v>2.9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Revlummer</t>
        </is>
      </c>
      <c r="S5">
        <f>HYPERLINK("https://klasma.github.io/Logging_1497/artfynd/A 47520-2019 artfynd.xlsx", "A 47520-2019")</f>
        <v/>
      </c>
      <c r="T5">
        <f>HYPERLINK("https://klasma.github.io/Logging_1497/kartor/A 47520-2019 karta.png", "A 47520-2019")</f>
        <v/>
      </c>
      <c r="V5">
        <f>HYPERLINK("https://klasma.github.io/Logging_1497/klagomål/A 47520-2019 FSC-klagomål.docx", "A 47520-2019")</f>
        <v/>
      </c>
      <c r="W5">
        <f>HYPERLINK("https://klasma.github.io/Logging_1497/klagomålsmail/A 47520-2019 FSC-klagomål mail.docx", "A 47520-2019")</f>
        <v/>
      </c>
      <c r="X5">
        <f>HYPERLINK("https://klasma.github.io/Logging_1497/tillsyn/A 47520-2019 tillsynsbegäran.docx", "A 47520-2019")</f>
        <v/>
      </c>
      <c r="Y5">
        <f>HYPERLINK("https://klasma.github.io/Logging_1497/tillsynsmail/A 47520-2019 tillsynsbegäran mail.docx", "A 47520-2019")</f>
        <v/>
      </c>
    </row>
    <row r="6" ht="15" customHeight="1">
      <c r="A6" t="inlineStr">
        <is>
          <t>A 2741-2021</t>
        </is>
      </c>
      <c r="B6" s="1" t="n">
        <v>44215</v>
      </c>
      <c r="C6" s="1" t="n">
        <v>45344</v>
      </c>
      <c r="D6" t="inlineStr">
        <is>
          <t>VÄSTRA GÖTALANDS LÄN</t>
        </is>
      </c>
      <c r="E6" t="inlineStr">
        <is>
          <t>HJO</t>
        </is>
      </c>
      <c r="G6" t="n">
        <v>10.2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Springkorn</t>
        </is>
      </c>
      <c r="S6">
        <f>HYPERLINK("https://klasma.github.io/Logging_1497/artfynd/A 2741-2021 artfynd.xlsx", "A 2741-2021")</f>
        <v/>
      </c>
      <c r="T6">
        <f>HYPERLINK("https://klasma.github.io/Logging_1497/kartor/A 2741-2021 karta.png", "A 2741-2021")</f>
        <v/>
      </c>
      <c r="V6">
        <f>HYPERLINK("https://klasma.github.io/Logging_1497/klagomål/A 2741-2021 FSC-klagomål.docx", "A 2741-2021")</f>
        <v/>
      </c>
      <c r="W6">
        <f>HYPERLINK("https://klasma.github.io/Logging_1497/klagomålsmail/A 2741-2021 FSC-klagomål mail.docx", "A 2741-2021")</f>
        <v/>
      </c>
      <c r="X6">
        <f>HYPERLINK("https://klasma.github.io/Logging_1497/tillsyn/A 2741-2021 tillsynsbegäran.docx", "A 2741-2021")</f>
        <v/>
      </c>
      <c r="Y6">
        <f>HYPERLINK("https://klasma.github.io/Logging_1497/tillsynsmail/A 2741-2021 tillsynsbegäran mail.docx", "A 2741-2021")</f>
        <v/>
      </c>
    </row>
    <row r="7" ht="15" customHeight="1">
      <c r="A7" t="inlineStr">
        <is>
          <t>A 4966-2022</t>
        </is>
      </c>
      <c r="B7" s="1" t="n">
        <v>44593</v>
      </c>
      <c r="C7" s="1" t="n">
        <v>45344</v>
      </c>
      <c r="D7" t="inlineStr">
        <is>
          <t>VÄSTRA GÖTALANDS LÄN</t>
        </is>
      </c>
      <c r="E7" t="inlineStr">
        <is>
          <t>HJO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4966-2022 artfynd.xlsx", "A 4966-2022")</f>
        <v/>
      </c>
      <c r="T7">
        <f>HYPERLINK("https://klasma.github.io/Logging_1497/kartor/A 4966-2022 karta.png", "A 4966-2022")</f>
        <v/>
      </c>
      <c r="V7">
        <f>HYPERLINK("https://klasma.github.io/Logging_1497/klagomål/A 4966-2022 FSC-klagomål.docx", "A 4966-2022")</f>
        <v/>
      </c>
      <c r="W7">
        <f>HYPERLINK("https://klasma.github.io/Logging_1497/klagomålsmail/A 4966-2022 FSC-klagomål mail.docx", "A 4966-2022")</f>
        <v/>
      </c>
      <c r="X7">
        <f>HYPERLINK("https://klasma.github.io/Logging_1497/tillsyn/A 4966-2022 tillsynsbegäran.docx", "A 4966-2022")</f>
        <v/>
      </c>
      <c r="Y7">
        <f>HYPERLINK("https://klasma.github.io/Logging_1497/tillsynsmail/A 4966-2022 tillsynsbegäran mail.docx", "A 4966-2022")</f>
        <v/>
      </c>
    </row>
    <row r="8" ht="15" customHeight="1">
      <c r="A8" t="inlineStr">
        <is>
          <t>A 33992-2018</t>
        </is>
      </c>
      <c r="B8" s="1" t="n">
        <v>43314</v>
      </c>
      <c r="C8" s="1" t="n">
        <v>45344</v>
      </c>
      <c r="D8" t="inlineStr">
        <is>
          <t>VÄSTRA GÖTALANDS LÄN</t>
        </is>
      </c>
      <c r="E8" t="inlineStr">
        <is>
          <t>HJO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46407-2018</t>
        </is>
      </c>
      <c r="B9" s="1" t="n">
        <v>43363</v>
      </c>
      <c r="C9" s="1" t="n">
        <v>45344</v>
      </c>
      <c r="D9" t="inlineStr">
        <is>
          <t>VÄSTRA GÖTALANDS LÄN</t>
        </is>
      </c>
      <c r="E9" t="inlineStr">
        <is>
          <t>HJO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46714-2018</t>
        </is>
      </c>
      <c r="B10" s="1" t="n">
        <v>43364</v>
      </c>
      <c r="C10" s="1" t="n">
        <v>45344</v>
      </c>
      <c r="D10" t="inlineStr">
        <is>
          <t>VÄSTRA GÖTALANDS LÄN</t>
        </is>
      </c>
      <c r="E10" t="inlineStr">
        <is>
          <t>HJO</t>
        </is>
      </c>
      <c r="G10" t="n">
        <v>10.5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50092-2018</t>
        </is>
      </c>
      <c r="B11" s="1" t="n">
        <v>43375</v>
      </c>
      <c r="C11" s="1" t="n">
        <v>45344</v>
      </c>
      <c r="D11" t="inlineStr">
        <is>
          <t>VÄSTRA GÖTALANDS LÄN</t>
        </is>
      </c>
      <c r="E11" t="inlineStr">
        <is>
          <t>HJO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57139-2018</t>
        </is>
      </c>
      <c r="B12" s="1" t="n">
        <v>43396</v>
      </c>
      <c r="C12" s="1" t="n">
        <v>45344</v>
      </c>
      <c r="D12" t="inlineStr">
        <is>
          <t>VÄSTRA GÖTALANDS LÄN</t>
        </is>
      </c>
      <c r="E12" t="inlineStr">
        <is>
          <t>HJO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58876-2018</t>
        </is>
      </c>
      <c r="B13" s="1" t="n">
        <v>43402</v>
      </c>
      <c r="C13" s="1" t="n">
        <v>45344</v>
      </c>
      <c r="D13" t="inlineStr">
        <is>
          <t>VÄSTRA GÖTALANDS LÄN</t>
        </is>
      </c>
      <c r="E13" t="inlineStr">
        <is>
          <t>HJO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59252-2018</t>
        </is>
      </c>
      <c r="B14" s="1" t="n">
        <v>43403</v>
      </c>
      <c r="C14" s="1" t="n">
        <v>45344</v>
      </c>
      <c r="D14" t="inlineStr">
        <is>
          <t>VÄSTRA GÖTALANDS LÄN</t>
        </is>
      </c>
      <c r="E14" t="inlineStr">
        <is>
          <t>HJO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57370-2018</t>
        </is>
      </c>
      <c r="B15" s="1" t="n">
        <v>43404</v>
      </c>
      <c r="C15" s="1" t="n">
        <v>45344</v>
      </c>
      <c r="D15" t="inlineStr">
        <is>
          <t>VÄSTRA GÖTALANDS LÄN</t>
        </is>
      </c>
      <c r="E15" t="inlineStr">
        <is>
          <t>HJO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67094-2018</t>
        </is>
      </c>
      <c r="B16" s="1" t="n">
        <v>43431</v>
      </c>
      <c r="C16" s="1" t="n">
        <v>45344</v>
      </c>
      <c r="D16" t="inlineStr">
        <is>
          <t>VÄSTRA GÖTALANDS LÄN</t>
        </is>
      </c>
      <c r="E16" t="inlineStr">
        <is>
          <t>HJO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67099-2018</t>
        </is>
      </c>
      <c r="B17" s="1" t="n">
        <v>43431</v>
      </c>
      <c r="C17" s="1" t="n">
        <v>45344</v>
      </c>
      <c r="D17" t="inlineStr">
        <is>
          <t>VÄSTRA GÖTALANDS LÄN</t>
        </is>
      </c>
      <c r="E17" t="inlineStr">
        <is>
          <t>HJO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64626-2018</t>
        </is>
      </c>
      <c r="B18" s="1" t="n">
        <v>43431</v>
      </c>
      <c r="C18" s="1" t="n">
        <v>45344</v>
      </c>
      <c r="D18" t="inlineStr">
        <is>
          <t>VÄSTRA GÖTALANDS LÄN</t>
        </is>
      </c>
      <c r="E18" t="inlineStr">
        <is>
          <t>HJO</t>
        </is>
      </c>
      <c r="G18" t="n">
        <v>6.8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67723-2018</t>
        </is>
      </c>
      <c r="B19" s="1" t="n">
        <v>43434</v>
      </c>
      <c r="C19" s="1" t="n">
        <v>45344</v>
      </c>
      <c r="D19" t="inlineStr">
        <is>
          <t>VÄSTRA GÖTALANDS LÄN</t>
        </is>
      </c>
      <c r="E19" t="inlineStr">
        <is>
          <t>HJO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68087-2018</t>
        </is>
      </c>
      <c r="B20" s="1" t="n">
        <v>43437</v>
      </c>
      <c r="C20" s="1" t="n">
        <v>45344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68375-2018</t>
        </is>
      </c>
      <c r="B21" s="1" t="n">
        <v>43438</v>
      </c>
      <c r="C21" s="1" t="n">
        <v>45344</v>
      </c>
      <c r="D21" t="inlineStr">
        <is>
          <t>VÄSTRA GÖTALANDS LÄN</t>
        </is>
      </c>
      <c r="E21" t="inlineStr">
        <is>
          <t>HJO</t>
        </is>
      </c>
      <c r="G21" t="n">
        <v>11.7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70357-2018</t>
        </is>
      </c>
      <c r="B22" s="1" t="n">
        <v>43446</v>
      </c>
      <c r="C22" s="1" t="n">
        <v>45344</v>
      </c>
      <c r="D22" t="inlineStr">
        <is>
          <t>VÄSTRA GÖTALANDS LÄN</t>
        </is>
      </c>
      <c r="E22" t="inlineStr">
        <is>
          <t>HJO</t>
        </is>
      </c>
      <c r="G22" t="n">
        <v>21.1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70356-2018</t>
        </is>
      </c>
      <c r="B23" s="1" t="n">
        <v>43446</v>
      </c>
      <c r="C23" s="1" t="n">
        <v>45344</v>
      </c>
      <c r="D23" t="inlineStr">
        <is>
          <t>VÄSTRA GÖTALANDS LÄN</t>
        </is>
      </c>
      <c r="E23" t="inlineStr">
        <is>
          <t>HJO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71668-2018</t>
        </is>
      </c>
      <c r="B24" s="1" t="n">
        <v>43452</v>
      </c>
      <c r="C24" s="1" t="n">
        <v>45344</v>
      </c>
      <c r="D24" t="inlineStr">
        <is>
          <t>VÄSTRA GÖTALANDS LÄN</t>
        </is>
      </c>
      <c r="E24" t="inlineStr">
        <is>
          <t>HJO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1095-2019</t>
        </is>
      </c>
      <c r="B25" s="1" t="n">
        <v>43472</v>
      </c>
      <c r="C25" s="1" t="n">
        <v>45344</v>
      </c>
      <c r="D25" t="inlineStr">
        <is>
          <t>VÄSTRA GÖTALANDS LÄN</t>
        </is>
      </c>
      <c r="E25" t="inlineStr">
        <is>
          <t>HJO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3121-2019</t>
        </is>
      </c>
      <c r="B26" s="1" t="n">
        <v>43479</v>
      </c>
      <c r="C26" s="1" t="n">
        <v>45344</v>
      </c>
      <c r="D26" t="inlineStr">
        <is>
          <t>VÄSTRA GÖTALANDS LÄN</t>
        </is>
      </c>
      <c r="E26" t="inlineStr">
        <is>
          <t>HJO</t>
        </is>
      </c>
      <c r="F26" t="inlineStr">
        <is>
          <t>Kommuner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5343-2019</t>
        </is>
      </c>
      <c r="B27" s="1" t="n">
        <v>43480</v>
      </c>
      <c r="C27" s="1" t="n">
        <v>45344</v>
      </c>
      <c r="D27" t="inlineStr">
        <is>
          <t>VÄSTRA GÖTALANDS LÄN</t>
        </is>
      </c>
      <c r="E27" t="inlineStr">
        <is>
          <t>HJO</t>
        </is>
      </c>
      <c r="F27" t="inlineStr">
        <is>
          <t>Övriga Aktiebolag</t>
        </is>
      </c>
      <c r="G27" t="n">
        <v>20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6721-2019</t>
        </is>
      </c>
      <c r="B28" s="1" t="n">
        <v>43487</v>
      </c>
      <c r="C28" s="1" t="n">
        <v>45344</v>
      </c>
      <c r="D28" t="inlineStr">
        <is>
          <t>VÄSTRA GÖTALANDS LÄN</t>
        </is>
      </c>
      <c r="E28" t="inlineStr">
        <is>
          <t>HJO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5179-2019</t>
        </is>
      </c>
      <c r="B29" s="1" t="n">
        <v>43488</v>
      </c>
      <c r="C29" s="1" t="n">
        <v>45344</v>
      </c>
      <c r="D29" t="inlineStr">
        <is>
          <t>VÄSTRA GÖTALANDS LÄN</t>
        </is>
      </c>
      <c r="E29" t="inlineStr">
        <is>
          <t>HJO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5292-2019</t>
        </is>
      </c>
      <c r="B30" s="1" t="n">
        <v>43488</v>
      </c>
      <c r="C30" s="1" t="n">
        <v>45344</v>
      </c>
      <c r="D30" t="inlineStr">
        <is>
          <t>VÄSTRA GÖTALANDS LÄN</t>
        </is>
      </c>
      <c r="E30" t="inlineStr">
        <is>
          <t>HJO</t>
        </is>
      </c>
      <c r="G30" t="n">
        <v>9.199999999999999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11340-2019</t>
        </is>
      </c>
      <c r="B31" s="1" t="n">
        <v>43517</v>
      </c>
      <c r="C31" s="1" t="n">
        <v>45344</v>
      </c>
      <c r="D31" t="inlineStr">
        <is>
          <t>VÄSTRA GÖTALANDS LÄN</t>
        </is>
      </c>
      <c r="E31" t="inlineStr">
        <is>
          <t>HJO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16223-2019</t>
        </is>
      </c>
      <c r="B32" s="1" t="n">
        <v>43545</v>
      </c>
      <c r="C32" s="1" t="n">
        <v>45344</v>
      </c>
      <c r="D32" t="inlineStr">
        <is>
          <t>VÄSTRA GÖTALANDS LÄN</t>
        </is>
      </c>
      <c r="E32" t="inlineStr">
        <is>
          <t>HJO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16273-2019</t>
        </is>
      </c>
      <c r="B33" s="1" t="n">
        <v>43545</v>
      </c>
      <c r="C33" s="1" t="n">
        <v>45344</v>
      </c>
      <c r="D33" t="inlineStr">
        <is>
          <t>VÄSTRA GÖTALANDS LÄN</t>
        </is>
      </c>
      <c r="E33" t="inlineStr">
        <is>
          <t>HJO</t>
        </is>
      </c>
      <c r="F33" t="inlineStr">
        <is>
          <t>Övriga Aktiebolag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16447-2019</t>
        </is>
      </c>
      <c r="B34" s="1" t="n">
        <v>43546</v>
      </c>
      <c r="C34" s="1" t="n">
        <v>45344</v>
      </c>
      <c r="D34" t="inlineStr">
        <is>
          <t>VÄSTRA GÖTALANDS LÄN</t>
        </is>
      </c>
      <c r="E34" t="inlineStr">
        <is>
          <t>HJO</t>
        </is>
      </c>
      <c r="G34" t="n">
        <v>9.300000000000001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20168-2019</t>
        </is>
      </c>
      <c r="B35" s="1" t="n">
        <v>43570</v>
      </c>
      <c r="C35" s="1" t="n">
        <v>45344</v>
      </c>
      <c r="D35" t="inlineStr">
        <is>
          <t>VÄSTRA GÖTALANDS LÄN</t>
        </is>
      </c>
      <c r="E35" t="inlineStr">
        <is>
          <t>HJO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20025-2019</t>
        </is>
      </c>
      <c r="B36" s="1" t="n">
        <v>43570</v>
      </c>
      <c r="C36" s="1" t="n">
        <v>45344</v>
      </c>
      <c r="D36" t="inlineStr">
        <is>
          <t>VÄSTRA GÖTALANDS LÄN</t>
        </is>
      </c>
      <c r="E36" t="inlineStr">
        <is>
          <t>HJO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20425-2019</t>
        </is>
      </c>
      <c r="B37" s="1" t="n">
        <v>43571</v>
      </c>
      <c r="C37" s="1" t="n">
        <v>45344</v>
      </c>
      <c r="D37" t="inlineStr">
        <is>
          <t>VÄSTRA GÖTALANDS LÄN</t>
        </is>
      </c>
      <c r="E37" t="inlineStr">
        <is>
          <t>HJO</t>
        </is>
      </c>
      <c r="F37" t="inlineStr">
        <is>
          <t>Övriga Aktiebolag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22337-2019</t>
        </is>
      </c>
      <c r="B38" s="1" t="n">
        <v>43586</v>
      </c>
      <c r="C38" s="1" t="n">
        <v>45344</v>
      </c>
      <c r="D38" t="inlineStr">
        <is>
          <t>VÄSTRA GÖTALANDS LÄN</t>
        </is>
      </c>
      <c r="E38" t="inlineStr">
        <is>
          <t>HJO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22336-2019</t>
        </is>
      </c>
      <c r="B39" s="1" t="n">
        <v>43586</v>
      </c>
      <c r="C39" s="1" t="n">
        <v>45344</v>
      </c>
      <c r="D39" t="inlineStr">
        <is>
          <t>VÄSTRA GÖTALANDS LÄN</t>
        </is>
      </c>
      <c r="E39" t="inlineStr">
        <is>
          <t>HJO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22335-2019</t>
        </is>
      </c>
      <c r="B40" s="1" t="n">
        <v>43586</v>
      </c>
      <c r="C40" s="1" t="n">
        <v>45344</v>
      </c>
      <c r="D40" t="inlineStr">
        <is>
          <t>VÄSTRA GÖTALANDS LÄN</t>
        </is>
      </c>
      <c r="E40" t="inlineStr">
        <is>
          <t>HJO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22338-2019</t>
        </is>
      </c>
      <c r="B41" s="1" t="n">
        <v>43586</v>
      </c>
      <c r="C41" s="1" t="n">
        <v>45344</v>
      </c>
      <c r="D41" t="inlineStr">
        <is>
          <t>VÄSTRA GÖTALANDS LÄN</t>
        </is>
      </c>
      <c r="E41" t="inlineStr">
        <is>
          <t>HJO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22334-2019</t>
        </is>
      </c>
      <c r="B42" s="1" t="n">
        <v>43586</v>
      </c>
      <c r="C42" s="1" t="n">
        <v>45344</v>
      </c>
      <c r="D42" t="inlineStr">
        <is>
          <t>VÄSTRA GÖTALANDS LÄN</t>
        </is>
      </c>
      <c r="E42" t="inlineStr">
        <is>
          <t>HJO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25524-2019</t>
        </is>
      </c>
      <c r="B43" s="1" t="n">
        <v>43606</v>
      </c>
      <c r="C43" s="1" t="n">
        <v>45344</v>
      </c>
      <c r="D43" t="inlineStr">
        <is>
          <t>VÄSTRA GÖTALANDS LÄN</t>
        </is>
      </c>
      <c r="E43" t="inlineStr">
        <is>
          <t>HJO</t>
        </is>
      </c>
      <c r="G43" t="n">
        <v>7.7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26257-2019</t>
        </is>
      </c>
      <c r="B44" s="1" t="n">
        <v>43610</v>
      </c>
      <c r="C44" s="1" t="n">
        <v>45344</v>
      </c>
      <c r="D44" t="inlineStr">
        <is>
          <t>VÄSTRA GÖTALANDS LÄN</t>
        </is>
      </c>
      <c r="E44" t="inlineStr">
        <is>
          <t>HJO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27694-2019</t>
        </is>
      </c>
      <c r="B45" s="1" t="n">
        <v>43619</v>
      </c>
      <c r="C45" s="1" t="n">
        <v>45344</v>
      </c>
      <c r="D45" t="inlineStr">
        <is>
          <t>VÄSTRA GÖTALANDS LÄN</t>
        </is>
      </c>
      <c r="E45" t="inlineStr">
        <is>
          <t>HJO</t>
        </is>
      </c>
      <c r="G45" t="n">
        <v>6.3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36412-2019</t>
        </is>
      </c>
      <c r="B46" s="1" t="n">
        <v>43670</v>
      </c>
      <c r="C46" s="1" t="n">
        <v>45344</v>
      </c>
      <c r="D46" t="inlineStr">
        <is>
          <t>VÄSTRA GÖTALANDS LÄN</t>
        </is>
      </c>
      <c r="E46" t="inlineStr">
        <is>
          <t>HJO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37938-2019</t>
        </is>
      </c>
      <c r="B47" s="1" t="n">
        <v>43683</v>
      </c>
      <c r="C47" s="1" t="n">
        <v>45344</v>
      </c>
      <c r="D47" t="inlineStr">
        <is>
          <t>VÄSTRA GÖTALANDS LÄN</t>
        </is>
      </c>
      <c r="E47" t="inlineStr">
        <is>
          <t>HJO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42274-2019</t>
        </is>
      </c>
      <c r="B48" s="1" t="n">
        <v>43703</v>
      </c>
      <c r="C48" s="1" t="n">
        <v>45344</v>
      </c>
      <c r="D48" t="inlineStr">
        <is>
          <t>VÄSTRA GÖTALANDS LÄN</t>
        </is>
      </c>
      <c r="E48" t="inlineStr">
        <is>
          <t>HJO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42293-2019</t>
        </is>
      </c>
      <c r="B49" s="1" t="n">
        <v>43703</v>
      </c>
      <c r="C49" s="1" t="n">
        <v>45344</v>
      </c>
      <c r="D49" t="inlineStr">
        <is>
          <t>VÄSTRA GÖTALANDS LÄN</t>
        </is>
      </c>
      <c r="E49" t="inlineStr">
        <is>
          <t>HJO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46516-2019</t>
        </is>
      </c>
      <c r="B50" s="1" t="n">
        <v>43719</v>
      </c>
      <c r="C50" s="1" t="n">
        <v>45344</v>
      </c>
      <c r="D50" t="inlineStr">
        <is>
          <t>VÄSTRA GÖTALANDS LÄN</t>
        </is>
      </c>
      <c r="E50" t="inlineStr">
        <is>
          <t>HJO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46565-2019</t>
        </is>
      </c>
      <c r="B51" s="1" t="n">
        <v>43719</v>
      </c>
      <c r="C51" s="1" t="n">
        <v>45344</v>
      </c>
      <c r="D51" t="inlineStr">
        <is>
          <t>VÄSTRA GÖTALANDS LÄN</t>
        </is>
      </c>
      <c r="E51" t="inlineStr">
        <is>
          <t>HJO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47527-2019</t>
        </is>
      </c>
      <c r="B52" s="1" t="n">
        <v>43724</v>
      </c>
      <c r="C52" s="1" t="n">
        <v>45344</v>
      </c>
      <c r="D52" t="inlineStr">
        <is>
          <t>VÄSTRA GÖTALANDS LÄN</t>
        </is>
      </c>
      <c r="E52" t="inlineStr">
        <is>
          <t>HJO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47486-2019</t>
        </is>
      </c>
      <c r="B53" s="1" t="n">
        <v>43724</v>
      </c>
      <c r="C53" s="1" t="n">
        <v>45344</v>
      </c>
      <c r="D53" t="inlineStr">
        <is>
          <t>VÄSTRA GÖTALANDS LÄN</t>
        </is>
      </c>
      <c r="E53" t="inlineStr">
        <is>
          <t>HJO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56381-2019</t>
        </is>
      </c>
      <c r="B54" s="1" t="n">
        <v>43762</v>
      </c>
      <c r="C54" s="1" t="n">
        <v>45344</v>
      </c>
      <c r="D54" t="inlineStr">
        <is>
          <t>VÄSTRA GÖTALANDS LÄN</t>
        </is>
      </c>
      <c r="E54" t="inlineStr">
        <is>
          <t>HJO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56388-2019</t>
        </is>
      </c>
      <c r="B55" s="1" t="n">
        <v>43762</v>
      </c>
      <c r="C55" s="1" t="n">
        <v>45344</v>
      </c>
      <c r="D55" t="inlineStr">
        <is>
          <t>VÄSTRA GÖTALANDS LÄN</t>
        </is>
      </c>
      <c r="E55" t="inlineStr">
        <is>
          <t>HJO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58691-2019</t>
        </is>
      </c>
      <c r="B56" s="1" t="n">
        <v>43773</v>
      </c>
      <c r="C56" s="1" t="n">
        <v>45344</v>
      </c>
      <c r="D56" t="inlineStr">
        <is>
          <t>VÄSTRA GÖTALANDS LÄN</t>
        </is>
      </c>
      <c r="E56" t="inlineStr">
        <is>
          <t>HJO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58853-2019</t>
        </is>
      </c>
      <c r="B57" s="1" t="n">
        <v>43774</v>
      </c>
      <c r="C57" s="1" t="n">
        <v>45344</v>
      </c>
      <c r="D57" t="inlineStr">
        <is>
          <t>VÄSTRA GÖTALANDS LÄN</t>
        </is>
      </c>
      <c r="E57" t="inlineStr">
        <is>
          <t>HJO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65411-2019</t>
        </is>
      </c>
      <c r="B58" s="1" t="n">
        <v>43803</v>
      </c>
      <c r="C58" s="1" t="n">
        <v>45344</v>
      </c>
      <c r="D58" t="inlineStr">
        <is>
          <t>VÄSTRA GÖTALANDS LÄN</t>
        </is>
      </c>
      <c r="E58" t="inlineStr">
        <is>
          <t>HJO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66624-2019</t>
        </is>
      </c>
      <c r="B59" s="1" t="n">
        <v>43804</v>
      </c>
      <c r="C59" s="1" t="n">
        <v>45344</v>
      </c>
      <c r="D59" t="inlineStr">
        <is>
          <t>VÄSTRA GÖTALANDS LÄN</t>
        </is>
      </c>
      <c r="E59" t="inlineStr">
        <is>
          <t>HJO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846-2020</t>
        </is>
      </c>
      <c r="B60" s="1" t="n">
        <v>43839</v>
      </c>
      <c r="C60" s="1" t="n">
        <v>45344</v>
      </c>
      <c r="D60" t="inlineStr">
        <is>
          <t>VÄSTRA GÖTALANDS LÄN</t>
        </is>
      </c>
      <c r="E60" t="inlineStr">
        <is>
          <t>HJO</t>
        </is>
      </c>
      <c r="F60" t="inlineStr">
        <is>
          <t>Sveaskog</t>
        </is>
      </c>
      <c r="G60" t="n">
        <v>14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1255-2020</t>
        </is>
      </c>
      <c r="B61" s="1" t="n">
        <v>43840</v>
      </c>
      <c r="C61" s="1" t="n">
        <v>45344</v>
      </c>
      <c r="D61" t="inlineStr">
        <is>
          <t>VÄSTRA GÖTALANDS LÄN</t>
        </is>
      </c>
      <c r="E61" t="inlineStr">
        <is>
          <t>HJO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1588-2020</t>
        </is>
      </c>
      <c r="B62" s="1" t="n">
        <v>43844</v>
      </c>
      <c r="C62" s="1" t="n">
        <v>45344</v>
      </c>
      <c r="D62" t="inlineStr">
        <is>
          <t>VÄSTRA GÖTALANDS LÄN</t>
        </is>
      </c>
      <c r="E62" t="inlineStr">
        <is>
          <t>HJO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4063-2020</t>
        </is>
      </c>
      <c r="B63" s="1" t="n">
        <v>43857</v>
      </c>
      <c r="C63" s="1" t="n">
        <v>45344</v>
      </c>
      <c r="D63" t="inlineStr">
        <is>
          <t>VÄSTRA GÖTALANDS LÄN</t>
        </is>
      </c>
      <c r="E63" t="inlineStr">
        <is>
          <t>HJO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9499-2020</t>
        </is>
      </c>
      <c r="B64" s="1" t="n">
        <v>43880</v>
      </c>
      <c r="C64" s="1" t="n">
        <v>45344</v>
      </c>
      <c r="D64" t="inlineStr">
        <is>
          <t>VÄSTRA GÖTALANDS LÄN</t>
        </is>
      </c>
      <c r="E64" t="inlineStr">
        <is>
          <t>HJO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10826-2020</t>
        </is>
      </c>
      <c r="B65" s="1" t="n">
        <v>43888</v>
      </c>
      <c r="C65" s="1" t="n">
        <v>45344</v>
      </c>
      <c r="D65" t="inlineStr">
        <is>
          <t>VÄSTRA GÖTALANDS LÄN</t>
        </is>
      </c>
      <c r="E65" t="inlineStr">
        <is>
          <t>HJO</t>
        </is>
      </c>
      <c r="G65" t="n">
        <v>8.6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11554-2020</t>
        </is>
      </c>
      <c r="B66" s="1" t="n">
        <v>43893</v>
      </c>
      <c r="C66" s="1" t="n">
        <v>45344</v>
      </c>
      <c r="D66" t="inlineStr">
        <is>
          <t>VÄSTRA GÖTALANDS LÄN</t>
        </is>
      </c>
      <c r="E66" t="inlineStr">
        <is>
          <t>HJO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11556-2020</t>
        </is>
      </c>
      <c r="B67" s="1" t="n">
        <v>43893</v>
      </c>
      <c r="C67" s="1" t="n">
        <v>45344</v>
      </c>
      <c r="D67" t="inlineStr">
        <is>
          <t>VÄSTRA GÖTALANDS LÄN</t>
        </is>
      </c>
      <c r="E67" t="inlineStr">
        <is>
          <t>HJO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15530-2020</t>
        </is>
      </c>
      <c r="B68" s="1" t="n">
        <v>43914</v>
      </c>
      <c r="C68" s="1" t="n">
        <v>45344</v>
      </c>
      <c r="D68" t="inlineStr">
        <is>
          <t>VÄSTRA GÖTALANDS LÄN</t>
        </is>
      </c>
      <c r="E68" t="inlineStr">
        <is>
          <t>HJO</t>
        </is>
      </c>
      <c r="F68" t="inlineStr">
        <is>
          <t>Kyrkan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17108-2020</t>
        </is>
      </c>
      <c r="B69" s="1" t="n">
        <v>43922</v>
      </c>
      <c r="C69" s="1" t="n">
        <v>45344</v>
      </c>
      <c r="D69" t="inlineStr">
        <is>
          <t>VÄSTRA GÖTALANDS LÄN</t>
        </is>
      </c>
      <c r="E69" t="inlineStr">
        <is>
          <t>HJO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20214-2020</t>
        </is>
      </c>
      <c r="B70" s="1" t="n">
        <v>43944</v>
      </c>
      <c r="C70" s="1" t="n">
        <v>45344</v>
      </c>
      <c r="D70" t="inlineStr">
        <is>
          <t>VÄSTRA GÖTALANDS LÄN</t>
        </is>
      </c>
      <c r="E70" t="inlineStr">
        <is>
          <t>HJO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20212-2020</t>
        </is>
      </c>
      <c r="B71" s="1" t="n">
        <v>43944</v>
      </c>
      <c r="C71" s="1" t="n">
        <v>45344</v>
      </c>
      <c r="D71" t="inlineStr">
        <is>
          <t>VÄSTRA GÖTALANDS LÄN</t>
        </is>
      </c>
      <c r="E71" t="inlineStr">
        <is>
          <t>HJO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22980-2020</t>
        </is>
      </c>
      <c r="B72" s="1" t="n">
        <v>43965</v>
      </c>
      <c r="C72" s="1" t="n">
        <v>45344</v>
      </c>
      <c r="D72" t="inlineStr">
        <is>
          <t>VÄSTRA GÖTALANDS LÄN</t>
        </is>
      </c>
      <c r="E72" t="inlineStr">
        <is>
          <t>HJO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30212-2020</t>
        </is>
      </c>
      <c r="B73" s="1" t="n">
        <v>44007</v>
      </c>
      <c r="C73" s="1" t="n">
        <v>45344</v>
      </c>
      <c r="D73" t="inlineStr">
        <is>
          <t>VÄSTRA GÖTALANDS LÄN</t>
        </is>
      </c>
      <c r="E73" t="inlineStr">
        <is>
          <t>HJO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31489-2020</t>
        </is>
      </c>
      <c r="B74" s="1" t="n">
        <v>44013</v>
      </c>
      <c r="C74" s="1" t="n">
        <v>45344</v>
      </c>
      <c r="D74" t="inlineStr">
        <is>
          <t>VÄSTRA GÖTALANDS LÄN</t>
        </is>
      </c>
      <c r="E74" t="inlineStr">
        <is>
          <t>HJO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33651-2020</t>
        </is>
      </c>
      <c r="B75" s="1" t="n">
        <v>44022</v>
      </c>
      <c r="C75" s="1" t="n">
        <v>45344</v>
      </c>
      <c r="D75" t="inlineStr">
        <is>
          <t>VÄSTRA GÖTALANDS LÄN</t>
        </is>
      </c>
      <c r="E75" t="inlineStr">
        <is>
          <t>HJO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37254-2020</t>
        </is>
      </c>
      <c r="B76" s="1" t="n">
        <v>44055</v>
      </c>
      <c r="C76" s="1" t="n">
        <v>45344</v>
      </c>
      <c r="D76" t="inlineStr">
        <is>
          <t>VÄSTRA GÖTALANDS LÄN</t>
        </is>
      </c>
      <c r="E76" t="inlineStr">
        <is>
          <t>HJO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39013-2020</t>
        </is>
      </c>
      <c r="B77" s="1" t="n">
        <v>44062</v>
      </c>
      <c r="C77" s="1" t="n">
        <v>45344</v>
      </c>
      <c r="D77" t="inlineStr">
        <is>
          <t>VÄSTRA GÖTALANDS LÄN</t>
        </is>
      </c>
      <c r="E77" t="inlineStr">
        <is>
          <t>HJO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44814-2020</t>
        </is>
      </c>
      <c r="B78" s="1" t="n">
        <v>44085</v>
      </c>
      <c r="C78" s="1" t="n">
        <v>45344</v>
      </c>
      <c r="D78" t="inlineStr">
        <is>
          <t>VÄSTRA GÖTALANDS LÄN</t>
        </is>
      </c>
      <c r="E78" t="inlineStr">
        <is>
          <t>HJO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46843-2020</t>
        </is>
      </c>
      <c r="B79" s="1" t="n">
        <v>44096</v>
      </c>
      <c r="C79" s="1" t="n">
        <v>45344</v>
      </c>
      <c r="D79" t="inlineStr">
        <is>
          <t>VÄSTRA GÖTALANDS LÄN</t>
        </is>
      </c>
      <c r="E79" t="inlineStr">
        <is>
          <t>HJO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46863-2020</t>
        </is>
      </c>
      <c r="B80" s="1" t="n">
        <v>44096</v>
      </c>
      <c r="C80" s="1" t="n">
        <v>45344</v>
      </c>
      <c r="D80" t="inlineStr">
        <is>
          <t>VÄSTRA GÖTALANDS LÄN</t>
        </is>
      </c>
      <c r="E80" t="inlineStr">
        <is>
          <t>HJO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48741-2020</t>
        </is>
      </c>
      <c r="B81" s="1" t="n">
        <v>44099</v>
      </c>
      <c r="C81" s="1" t="n">
        <v>45344</v>
      </c>
      <c r="D81" t="inlineStr">
        <is>
          <t>VÄSTRA GÖTALANDS LÄN</t>
        </is>
      </c>
      <c r="E81" t="inlineStr">
        <is>
          <t>HJO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49621-2020</t>
        </is>
      </c>
      <c r="B82" s="1" t="n">
        <v>44106</v>
      </c>
      <c r="C82" s="1" t="n">
        <v>45344</v>
      </c>
      <c r="D82" t="inlineStr">
        <is>
          <t>VÄSTRA GÖTALANDS LÄN</t>
        </is>
      </c>
      <c r="E82" t="inlineStr">
        <is>
          <t>HJO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60291-2020</t>
        </is>
      </c>
      <c r="B83" s="1" t="n">
        <v>44152</v>
      </c>
      <c r="C83" s="1" t="n">
        <v>45344</v>
      </c>
      <c r="D83" t="inlineStr">
        <is>
          <t>VÄSTRA GÖTALANDS LÄN</t>
        </is>
      </c>
      <c r="E83" t="inlineStr">
        <is>
          <t>HJO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61283-2020</t>
        </is>
      </c>
      <c r="B84" s="1" t="n">
        <v>44155</v>
      </c>
      <c r="C84" s="1" t="n">
        <v>45344</v>
      </c>
      <c r="D84" t="inlineStr">
        <is>
          <t>VÄSTRA GÖTALANDS LÄN</t>
        </is>
      </c>
      <c r="E84" t="inlineStr">
        <is>
          <t>HJO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66077-2020</t>
        </is>
      </c>
      <c r="B85" s="1" t="n">
        <v>44173</v>
      </c>
      <c r="C85" s="1" t="n">
        <v>45344</v>
      </c>
      <c r="D85" t="inlineStr">
        <is>
          <t>VÄSTRA GÖTALANDS LÄN</t>
        </is>
      </c>
      <c r="E85" t="inlineStr">
        <is>
          <t>HJO</t>
        </is>
      </c>
      <c r="G85" t="n">
        <v>20.8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2779-2021</t>
        </is>
      </c>
      <c r="B86" s="1" t="n">
        <v>44215</v>
      </c>
      <c r="C86" s="1" t="n">
        <v>45344</v>
      </c>
      <c r="D86" t="inlineStr">
        <is>
          <t>VÄSTRA GÖTALANDS LÄN</t>
        </is>
      </c>
      <c r="E86" t="inlineStr">
        <is>
          <t>HJO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4140-2021</t>
        </is>
      </c>
      <c r="B87" s="1" t="n">
        <v>44223</v>
      </c>
      <c r="C87" s="1" t="n">
        <v>45344</v>
      </c>
      <c r="D87" t="inlineStr">
        <is>
          <t>VÄSTRA GÖTALANDS LÄN</t>
        </is>
      </c>
      <c r="E87" t="inlineStr">
        <is>
          <t>HJO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4182-2021</t>
        </is>
      </c>
      <c r="B88" s="1" t="n">
        <v>44223</v>
      </c>
      <c r="C88" s="1" t="n">
        <v>45344</v>
      </c>
      <c r="D88" t="inlineStr">
        <is>
          <t>VÄSTRA GÖTALANDS LÄN</t>
        </is>
      </c>
      <c r="E88" t="inlineStr">
        <is>
          <t>HJO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4521-2021</t>
        </is>
      </c>
      <c r="B89" s="1" t="n">
        <v>44224</v>
      </c>
      <c r="C89" s="1" t="n">
        <v>45344</v>
      </c>
      <c r="D89" t="inlineStr">
        <is>
          <t>VÄSTRA GÖTALANDS LÄN</t>
        </is>
      </c>
      <c r="E89" t="inlineStr">
        <is>
          <t>HJO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5103-2021</t>
        </is>
      </c>
      <c r="B90" s="1" t="n">
        <v>44228</v>
      </c>
      <c r="C90" s="1" t="n">
        <v>45344</v>
      </c>
      <c r="D90" t="inlineStr">
        <is>
          <t>VÄSTRA GÖTALANDS LÄN</t>
        </is>
      </c>
      <c r="E90" t="inlineStr">
        <is>
          <t>HJO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6287-2021</t>
        </is>
      </c>
      <c r="B91" s="1" t="n">
        <v>44235</v>
      </c>
      <c r="C91" s="1" t="n">
        <v>45344</v>
      </c>
      <c r="D91" t="inlineStr">
        <is>
          <t>VÄSTRA GÖTALANDS LÄN</t>
        </is>
      </c>
      <c r="E91" t="inlineStr">
        <is>
          <t>HJO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9766-2021</t>
        </is>
      </c>
      <c r="B92" s="1" t="n">
        <v>44252</v>
      </c>
      <c r="C92" s="1" t="n">
        <v>45344</v>
      </c>
      <c r="D92" t="inlineStr">
        <is>
          <t>VÄSTRA GÖTALANDS LÄN</t>
        </is>
      </c>
      <c r="E92" t="inlineStr">
        <is>
          <t>HJO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9771-2021</t>
        </is>
      </c>
      <c r="B93" s="1" t="n">
        <v>44252</v>
      </c>
      <c r="C93" s="1" t="n">
        <v>45344</v>
      </c>
      <c r="D93" t="inlineStr">
        <is>
          <t>VÄSTRA GÖTALANDS LÄN</t>
        </is>
      </c>
      <c r="E93" t="inlineStr">
        <is>
          <t>HJO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9773-2021</t>
        </is>
      </c>
      <c r="B94" s="1" t="n">
        <v>44252</v>
      </c>
      <c r="C94" s="1" t="n">
        <v>45344</v>
      </c>
      <c r="D94" t="inlineStr">
        <is>
          <t>VÄSTRA GÖTALANDS LÄN</t>
        </is>
      </c>
      <c r="E94" t="inlineStr">
        <is>
          <t>HJO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16395-2021</t>
        </is>
      </c>
      <c r="B95" s="1" t="n">
        <v>44293</v>
      </c>
      <c r="C95" s="1" t="n">
        <v>45344</v>
      </c>
      <c r="D95" t="inlineStr">
        <is>
          <t>VÄSTRA GÖTALANDS LÄN</t>
        </is>
      </c>
      <c r="E95" t="inlineStr">
        <is>
          <t>HJO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17806-2021</t>
        </is>
      </c>
      <c r="B96" s="1" t="n">
        <v>44300</v>
      </c>
      <c r="C96" s="1" t="n">
        <v>45344</v>
      </c>
      <c r="D96" t="inlineStr">
        <is>
          <t>VÄSTRA GÖTALANDS LÄN</t>
        </is>
      </c>
      <c r="E96" t="inlineStr">
        <is>
          <t>HJO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20469-2021</t>
        </is>
      </c>
      <c r="B97" s="1" t="n">
        <v>44315</v>
      </c>
      <c r="C97" s="1" t="n">
        <v>45344</v>
      </c>
      <c r="D97" t="inlineStr">
        <is>
          <t>VÄSTRA GÖTALANDS LÄN</t>
        </is>
      </c>
      <c r="E97" t="inlineStr">
        <is>
          <t>HJO</t>
        </is>
      </c>
      <c r="F97" t="inlineStr">
        <is>
          <t>Övriga Aktiebolag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20651-2021</t>
        </is>
      </c>
      <c r="B98" s="1" t="n">
        <v>44316</v>
      </c>
      <c r="C98" s="1" t="n">
        <v>45344</v>
      </c>
      <c r="D98" t="inlineStr">
        <is>
          <t>VÄSTRA GÖTALANDS LÄN</t>
        </is>
      </c>
      <c r="E98" t="inlineStr">
        <is>
          <t>HJO</t>
        </is>
      </c>
      <c r="F98" t="inlineStr">
        <is>
          <t>Övriga Aktiebolag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21369-2021</t>
        </is>
      </c>
      <c r="B99" s="1" t="n">
        <v>44321</v>
      </c>
      <c r="C99" s="1" t="n">
        <v>45344</v>
      </c>
      <c r="D99" t="inlineStr">
        <is>
          <t>VÄSTRA GÖTALANDS LÄN</t>
        </is>
      </c>
      <c r="E99" t="inlineStr">
        <is>
          <t>HJO</t>
        </is>
      </c>
      <c r="G99" t="n">
        <v>10.7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25316-2021</t>
        </is>
      </c>
      <c r="B100" s="1" t="n">
        <v>44342</v>
      </c>
      <c r="C100" s="1" t="n">
        <v>45344</v>
      </c>
      <c r="D100" t="inlineStr">
        <is>
          <t>VÄSTRA GÖTALANDS LÄN</t>
        </is>
      </c>
      <c r="E100" t="inlineStr">
        <is>
          <t>HJO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27849-2021</t>
        </is>
      </c>
      <c r="B101" s="1" t="n">
        <v>44354</v>
      </c>
      <c r="C101" s="1" t="n">
        <v>45344</v>
      </c>
      <c r="D101" t="inlineStr">
        <is>
          <t>VÄSTRA GÖTALANDS LÄN</t>
        </is>
      </c>
      <c r="E101" t="inlineStr">
        <is>
          <t>HJO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27872-2021</t>
        </is>
      </c>
      <c r="B102" s="1" t="n">
        <v>44354</v>
      </c>
      <c r="C102" s="1" t="n">
        <v>45344</v>
      </c>
      <c r="D102" t="inlineStr">
        <is>
          <t>VÄSTRA GÖTALANDS LÄN</t>
        </is>
      </c>
      <c r="E102" t="inlineStr">
        <is>
          <t>HJO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30411-2021</t>
        </is>
      </c>
      <c r="B103" s="1" t="n">
        <v>44364</v>
      </c>
      <c r="C103" s="1" t="n">
        <v>45344</v>
      </c>
      <c r="D103" t="inlineStr">
        <is>
          <t>VÄSTRA GÖTALANDS LÄN</t>
        </is>
      </c>
      <c r="E103" t="inlineStr">
        <is>
          <t>HJO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35771-2021</t>
        </is>
      </c>
      <c r="B104" s="1" t="n">
        <v>44386</v>
      </c>
      <c r="C104" s="1" t="n">
        <v>45344</v>
      </c>
      <c r="D104" t="inlineStr">
        <is>
          <t>VÄSTRA GÖTALANDS LÄN</t>
        </is>
      </c>
      <c r="E104" t="inlineStr">
        <is>
          <t>HJO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42295-2021</t>
        </is>
      </c>
      <c r="B105" s="1" t="n">
        <v>44427</v>
      </c>
      <c r="C105" s="1" t="n">
        <v>45344</v>
      </c>
      <c r="D105" t="inlineStr">
        <is>
          <t>VÄSTRA GÖTALANDS LÄN</t>
        </is>
      </c>
      <c r="E105" t="inlineStr">
        <is>
          <t>HJO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44965-2021</t>
        </is>
      </c>
      <c r="B106" s="1" t="n">
        <v>44438</v>
      </c>
      <c r="C106" s="1" t="n">
        <v>45344</v>
      </c>
      <c r="D106" t="inlineStr">
        <is>
          <t>VÄSTRA GÖTALANDS LÄN</t>
        </is>
      </c>
      <c r="E106" t="inlineStr">
        <is>
          <t>HJO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47047-2021</t>
        </is>
      </c>
      <c r="B107" s="1" t="n">
        <v>44446</v>
      </c>
      <c r="C107" s="1" t="n">
        <v>45344</v>
      </c>
      <c r="D107" t="inlineStr">
        <is>
          <t>VÄSTRA GÖTALANDS LÄN</t>
        </is>
      </c>
      <c r="E107" t="inlineStr">
        <is>
          <t>HJO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50738-2021</t>
        </is>
      </c>
      <c r="B108" s="1" t="n">
        <v>44456</v>
      </c>
      <c r="C108" s="1" t="n">
        <v>45344</v>
      </c>
      <c r="D108" t="inlineStr">
        <is>
          <t>VÄSTRA GÖTALANDS LÄN</t>
        </is>
      </c>
      <c r="E108" t="inlineStr">
        <is>
          <t>HJO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50783-2021</t>
        </is>
      </c>
      <c r="B109" s="1" t="n">
        <v>44456</v>
      </c>
      <c r="C109" s="1" t="n">
        <v>45344</v>
      </c>
      <c r="D109" t="inlineStr">
        <is>
          <t>VÄSTRA GÖTALANDS LÄN</t>
        </is>
      </c>
      <c r="E109" t="inlineStr">
        <is>
          <t>HJO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55091-2021</t>
        </is>
      </c>
      <c r="B110" s="1" t="n">
        <v>44474</v>
      </c>
      <c r="C110" s="1" t="n">
        <v>45344</v>
      </c>
      <c r="D110" t="inlineStr">
        <is>
          <t>VÄSTRA GÖTALANDS LÄN</t>
        </is>
      </c>
      <c r="E110" t="inlineStr">
        <is>
          <t>HJO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56175-2021</t>
        </is>
      </c>
      <c r="B111" s="1" t="n">
        <v>44477</v>
      </c>
      <c r="C111" s="1" t="n">
        <v>45344</v>
      </c>
      <c r="D111" t="inlineStr">
        <is>
          <t>VÄSTRA GÖTALANDS LÄN</t>
        </is>
      </c>
      <c r="E111" t="inlineStr">
        <is>
          <t>HJO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58295-2021</t>
        </is>
      </c>
      <c r="B112" s="1" t="n">
        <v>44487</v>
      </c>
      <c r="C112" s="1" t="n">
        <v>45344</v>
      </c>
      <c r="D112" t="inlineStr">
        <is>
          <t>VÄSTRA GÖTALANDS LÄN</t>
        </is>
      </c>
      <c r="E112" t="inlineStr">
        <is>
          <t>HJO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58495-2021</t>
        </is>
      </c>
      <c r="B113" s="1" t="n">
        <v>44488</v>
      </c>
      <c r="C113" s="1" t="n">
        <v>45344</v>
      </c>
      <c r="D113" t="inlineStr">
        <is>
          <t>VÄSTRA GÖTALANDS LÄN</t>
        </is>
      </c>
      <c r="E113" t="inlineStr">
        <is>
          <t>HJO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63239-2021</t>
        </is>
      </c>
      <c r="B114" s="1" t="n">
        <v>44508</v>
      </c>
      <c r="C114" s="1" t="n">
        <v>45344</v>
      </c>
      <c r="D114" t="inlineStr">
        <is>
          <t>VÄSTRA GÖTALANDS LÄN</t>
        </is>
      </c>
      <c r="E114" t="inlineStr">
        <is>
          <t>HJO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63248-2021</t>
        </is>
      </c>
      <c r="B115" s="1" t="n">
        <v>44508</v>
      </c>
      <c r="C115" s="1" t="n">
        <v>45344</v>
      </c>
      <c r="D115" t="inlineStr">
        <is>
          <t>VÄSTRA GÖTALANDS LÄN</t>
        </is>
      </c>
      <c r="E115" t="inlineStr">
        <is>
          <t>HJO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63257-2021</t>
        </is>
      </c>
      <c r="B116" s="1" t="n">
        <v>44508</v>
      </c>
      <c r="C116" s="1" t="n">
        <v>45344</v>
      </c>
      <c r="D116" t="inlineStr">
        <is>
          <t>VÄSTRA GÖTALANDS LÄN</t>
        </is>
      </c>
      <c r="E116" t="inlineStr">
        <is>
          <t>HJO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65329-2021</t>
        </is>
      </c>
      <c r="B117" s="1" t="n">
        <v>44515</v>
      </c>
      <c r="C117" s="1" t="n">
        <v>45344</v>
      </c>
      <c r="D117" t="inlineStr">
        <is>
          <t>VÄSTRA GÖTALANDS LÄN</t>
        </is>
      </c>
      <c r="E117" t="inlineStr">
        <is>
          <t>HJO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67995-2021</t>
        </is>
      </c>
      <c r="B118" s="1" t="n">
        <v>44525</v>
      </c>
      <c r="C118" s="1" t="n">
        <v>45344</v>
      </c>
      <c r="D118" t="inlineStr">
        <is>
          <t>VÄSTRA GÖTALANDS LÄN</t>
        </is>
      </c>
      <c r="E118" t="inlineStr">
        <is>
          <t>HJO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70743-2021</t>
        </is>
      </c>
      <c r="B119" s="1" t="n">
        <v>44537</v>
      </c>
      <c r="C119" s="1" t="n">
        <v>45344</v>
      </c>
      <c r="D119" t="inlineStr">
        <is>
          <t>VÄSTRA GÖTALANDS LÄN</t>
        </is>
      </c>
      <c r="E119" t="inlineStr">
        <is>
          <t>HJO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138-2022</t>
        </is>
      </c>
      <c r="B120" s="1" t="n">
        <v>44560</v>
      </c>
      <c r="C120" s="1" t="n">
        <v>45344</v>
      </c>
      <c r="D120" t="inlineStr">
        <is>
          <t>VÄSTRA GÖTALANDS LÄN</t>
        </is>
      </c>
      <c r="E120" t="inlineStr">
        <is>
          <t>HJO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809-2022</t>
        </is>
      </c>
      <c r="B121" s="1" t="n">
        <v>44571</v>
      </c>
      <c r="C121" s="1" t="n">
        <v>45344</v>
      </c>
      <c r="D121" t="inlineStr">
        <is>
          <t>VÄSTRA GÖTALANDS LÄN</t>
        </is>
      </c>
      <c r="E121" t="inlineStr">
        <is>
          <t>HJO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7231-2022</t>
        </is>
      </c>
      <c r="B122" s="1" t="n">
        <v>44606</v>
      </c>
      <c r="C122" s="1" t="n">
        <v>45344</v>
      </c>
      <c r="D122" t="inlineStr">
        <is>
          <t>VÄSTRA GÖTALANDS LÄN</t>
        </is>
      </c>
      <c r="E122" t="inlineStr">
        <is>
          <t>HJO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7392-2022</t>
        </is>
      </c>
      <c r="B123" s="1" t="n">
        <v>44606</v>
      </c>
      <c r="C123" s="1" t="n">
        <v>45344</v>
      </c>
      <c r="D123" t="inlineStr">
        <is>
          <t>VÄSTRA GÖTALANDS LÄN</t>
        </is>
      </c>
      <c r="E123" t="inlineStr">
        <is>
          <t>HJO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7786-2022</t>
        </is>
      </c>
      <c r="B124" s="1" t="n">
        <v>44608</v>
      </c>
      <c r="C124" s="1" t="n">
        <v>45344</v>
      </c>
      <c r="D124" t="inlineStr">
        <is>
          <t>VÄSTRA GÖTALANDS LÄN</t>
        </is>
      </c>
      <c r="E124" t="inlineStr">
        <is>
          <t>HJO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8814-2022</t>
        </is>
      </c>
      <c r="B125" s="1" t="n">
        <v>44614</v>
      </c>
      <c r="C125" s="1" t="n">
        <v>45344</v>
      </c>
      <c r="D125" t="inlineStr">
        <is>
          <t>VÄSTRA GÖTALANDS LÄN</t>
        </is>
      </c>
      <c r="E125" t="inlineStr">
        <is>
          <t>HJO</t>
        </is>
      </c>
      <c r="F125" t="inlineStr">
        <is>
          <t>Kyrkan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8906-2022</t>
        </is>
      </c>
      <c r="B126" s="1" t="n">
        <v>44614</v>
      </c>
      <c r="C126" s="1" t="n">
        <v>45344</v>
      </c>
      <c r="D126" t="inlineStr">
        <is>
          <t>VÄSTRA GÖTALANDS LÄN</t>
        </is>
      </c>
      <c r="E126" t="inlineStr">
        <is>
          <t>HJO</t>
        </is>
      </c>
      <c r="F126" t="inlineStr">
        <is>
          <t>Kyrkan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9065-2022</t>
        </is>
      </c>
      <c r="B127" s="1" t="n">
        <v>44615</v>
      </c>
      <c r="C127" s="1" t="n">
        <v>45344</v>
      </c>
      <c r="D127" t="inlineStr">
        <is>
          <t>VÄSTRA GÖTALANDS LÄN</t>
        </is>
      </c>
      <c r="E127" t="inlineStr">
        <is>
          <t>HJO</t>
        </is>
      </c>
      <c r="F127" t="inlineStr">
        <is>
          <t>Övriga Aktiebolag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9091-2022</t>
        </is>
      </c>
      <c r="B128" s="1" t="n">
        <v>44615</v>
      </c>
      <c r="C128" s="1" t="n">
        <v>45344</v>
      </c>
      <c r="D128" t="inlineStr">
        <is>
          <t>VÄSTRA GÖTALANDS LÄN</t>
        </is>
      </c>
      <c r="E128" t="inlineStr">
        <is>
          <t>HJO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9177-2022</t>
        </is>
      </c>
      <c r="B129" s="1" t="n">
        <v>44615</v>
      </c>
      <c r="C129" s="1" t="n">
        <v>45344</v>
      </c>
      <c r="D129" t="inlineStr">
        <is>
          <t>VÄSTRA GÖTALANDS LÄN</t>
        </is>
      </c>
      <c r="E129" t="inlineStr">
        <is>
          <t>HJO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9184-2022</t>
        </is>
      </c>
      <c r="B130" s="1" t="n">
        <v>44615</v>
      </c>
      <c r="C130" s="1" t="n">
        <v>45344</v>
      </c>
      <c r="D130" t="inlineStr">
        <is>
          <t>VÄSTRA GÖTALANDS LÄN</t>
        </is>
      </c>
      <c r="E130" t="inlineStr">
        <is>
          <t>HJO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9210-2022</t>
        </is>
      </c>
      <c r="B131" s="1" t="n">
        <v>44616</v>
      </c>
      <c r="C131" s="1" t="n">
        <v>45344</v>
      </c>
      <c r="D131" t="inlineStr">
        <is>
          <t>VÄSTRA GÖTALANDS LÄN</t>
        </is>
      </c>
      <c r="E131" t="inlineStr">
        <is>
          <t>HJO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9297-2022</t>
        </is>
      </c>
      <c r="B132" s="1" t="n">
        <v>44616</v>
      </c>
      <c r="C132" s="1" t="n">
        <v>45344</v>
      </c>
      <c r="D132" t="inlineStr">
        <is>
          <t>VÄSTRA GÖTALANDS LÄN</t>
        </is>
      </c>
      <c r="E132" t="inlineStr">
        <is>
          <t>HJO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9209-2022</t>
        </is>
      </c>
      <c r="B133" s="1" t="n">
        <v>44616</v>
      </c>
      <c r="C133" s="1" t="n">
        <v>45344</v>
      </c>
      <c r="D133" t="inlineStr">
        <is>
          <t>VÄSTRA GÖTALANDS LÄN</t>
        </is>
      </c>
      <c r="E133" t="inlineStr">
        <is>
          <t>HJO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10337-2022</t>
        </is>
      </c>
      <c r="B134" s="1" t="n">
        <v>44623</v>
      </c>
      <c r="C134" s="1" t="n">
        <v>45344</v>
      </c>
      <c r="D134" t="inlineStr">
        <is>
          <t>VÄSTRA GÖTALANDS LÄN</t>
        </is>
      </c>
      <c r="E134" t="inlineStr">
        <is>
          <t>HJO</t>
        </is>
      </c>
      <c r="G134" t="n">
        <v>8.4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12544-2022</t>
        </is>
      </c>
      <c r="B135" s="1" t="n">
        <v>44638</v>
      </c>
      <c r="C135" s="1" t="n">
        <v>45344</v>
      </c>
      <c r="D135" t="inlineStr">
        <is>
          <t>VÄSTRA GÖTALANDS LÄN</t>
        </is>
      </c>
      <c r="E135" t="inlineStr">
        <is>
          <t>HJO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15389-2022</t>
        </is>
      </c>
      <c r="B136" s="1" t="n">
        <v>44659</v>
      </c>
      <c r="C136" s="1" t="n">
        <v>45344</v>
      </c>
      <c r="D136" t="inlineStr">
        <is>
          <t>VÄSTRA GÖTALANDS LÄN</t>
        </is>
      </c>
      <c r="E136" t="inlineStr">
        <is>
          <t>HJO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19341-2022</t>
        </is>
      </c>
      <c r="B137" s="1" t="n">
        <v>44692</v>
      </c>
      <c r="C137" s="1" t="n">
        <v>45344</v>
      </c>
      <c r="D137" t="inlineStr">
        <is>
          <t>VÄSTRA GÖTALANDS LÄN</t>
        </is>
      </c>
      <c r="E137" t="inlineStr">
        <is>
          <t>HJO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20024-2022</t>
        </is>
      </c>
      <c r="B138" s="1" t="n">
        <v>44697</v>
      </c>
      <c r="C138" s="1" t="n">
        <v>45344</v>
      </c>
      <c r="D138" t="inlineStr">
        <is>
          <t>VÄSTRA GÖTALANDS LÄN</t>
        </is>
      </c>
      <c r="E138" t="inlineStr">
        <is>
          <t>HJO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22586-2022</t>
        </is>
      </c>
      <c r="B139" s="1" t="n">
        <v>44714</v>
      </c>
      <c r="C139" s="1" t="n">
        <v>45344</v>
      </c>
      <c r="D139" t="inlineStr">
        <is>
          <t>VÄSTRA GÖTALANDS LÄN</t>
        </is>
      </c>
      <c r="E139" t="inlineStr">
        <is>
          <t>HJO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25205-2022</t>
        </is>
      </c>
      <c r="B140" s="1" t="n">
        <v>44729</v>
      </c>
      <c r="C140" s="1" t="n">
        <v>45344</v>
      </c>
      <c r="D140" t="inlineStr">
        <is>
          <t>VÄSTRA GÖTALANDS LÄN</t>
        </is>
      </c>
      <c r="E140" t="inlineStr">
        <is>
          <t>HJO</t>
        </is>
      </c>
      <c r="F140" t="inlineStr">
        <is>
          <t>Kommuner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27989-2022</t>
        </is>
      </c>
      <c r="B141" s="1" t="n">
        <v>44745</v>
      </c>
      <c r="C141" s="1" t="n">
        <v>45344</v>
      </c>
      <c r="D141" t="inlineStr">
        <is>
          <t>VÄSTRA GÖTALANDS LÄN</t>
        </is>
      </c>
      <c r="E141" t="inlineStr">
        <is>
          <t>HJO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28512-2022</t>
        </is>
      </c>
      <c r="B142" s="1" t="n">
        <v>44748</v>
      </c>
      <c r="C142" s="1" t="n">
        <v>45344</v>
      </c>
      <c r="D142" t="inlineStr">
        <is>
          <t>VÄSTRA GÖTALANDS LÄN</t>
        </is>
      </c>
      <c r="E142" t="inlineStr">
        <is>
          <t>HJO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32219-2022</t>
        </is>
      </c>
      <c r="B143" s="1" t="n">
        <v>44781</v>
      </c>
      <c r="C143" s="1" t="n">
        <v>45344</v>
      </c>
      <c r="D143" t="inlineStr">
        <is>
          <t>VÄSTRA GÖTALANDS LÄN</t>
        </is>
      </c>
      <c r="E143" t="inlineStr">
        <is>
          <t>HJO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32158-2022</t>
        </is>
      </c>
      <c r="B144" s="1" t="n">
        <v>44781</v>
      </c>
      <c r="C144" s="1" t="n">
        <v>45344</v>
      </c>
      <c r="D144" t="inlineStr">
        <is>
          <t>VÄSTRA GÖTALANDS LÄN</t>
        </is>
      </c>
      <c r="E144" t="inlineStr">
        <is>
          <t>HJO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32518-2022</t>
        </is>
      </c>
      <c r="B145" s="1" t="n">
        <v>44782</v>
      </c>
      <c r="C145" s="1" t="n">
        <v>45344</v>
      </c>
      <c r="D145" t="inlineStr">
        <is>
          <t>VÄSTRA GÖTALANDS LÄN</t>
        </is>
      </c>
      <c r="E145" t="inlineStr">
        <is>
          <t>HJO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32814-2022</t>
        </is>
      </c>
      <c r="B146" s="1" t="n">
        <v>44784</v>
      </c>
      <c r="C146" s="1" t="n">
        <v>45344</v>
      </c>
      <c r="D146" t="inlineStr">
        <is>
          <t>VÄSTRA GÖTALANDS LÄN</t>
        </is>
      </c>
      <c r="E146" t="inlineStr">
        <is>
          <t>HJO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35216-2022</t>
        </is>
      </c>
      <c r="B147" s="1" t="n">
        <v>44797</v>
      </c>
      <c r="C147" s="1" t="n">
        <v>45344</v>
      </c>
      <c r="D147" t="inlineStr">
        <is>
          <t>VÄSTRA GÖTALANDS LÄN</t>
        </is>
      </c>
      <c r="E147" t="inlineStr">
        <is>
          <t>HJO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35602-2022</t>
        </is>
      </c>
      <c r="B148" s="1" t="n">
        <v>44799</v>
      </c>
      <c r="C148" s="1" t="n">
        <v>45344</v>
      </c>
      <c r="D148" t="inlineStr">
        <is>
          <t>VÄSTRA GÖTALANDS LÄN</t>
        </is>
      </c>
      <c r="E148" t="inlineStr">
        <is>
          <t>HJO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37789-2022</t>
        </is>
      </c>
      <c r="B149" s="1" t="n">
        <v>44810</v>
      </c>
      <c r="C149" s="1" t="n">
        <v>45344</v>
      </c>
      <c r="D149" t="inlineStr">
        <is>
          <t>VÄSTRA GÖTALANDS LÄN</t>
        </is>
      </c>
      <c r="E149" t="inlineStr">
        <is>
          <t>HJO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45980-2022</t>
        </is>
      </c>
      <c r="B150" s="1" t="n">
        <v>44846</v>
      </c>
      <c r="C150" s="1" t="n">
        <v>45344</v>
      </c>
      <c r="D150" t="inlineStr">
        <is>
          <t>VÄSTRA GÖTALANDS LÄN</t>
        </is>
      </c>
      <c r="E150" t="inlineStr">
        <is>
          <t>HJO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46998-2022</t>
        </is>
      </c>
      <c r="B151" s="1" t="n">
        <v>44852</v>
      </c>
      <c r="C151" s="1" t="n">
        <v>45344</v>
      </c>
      <c r="D151" t="inlineStr">
        <is>
          <t>VÄSTRA GÖTALANDS LÄN</t>
        </is>
      </c>
      <c r="E151" t="inlineStr">
        <is>
          <t>HJO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47300-2022</t>
        </is>
      </c>
      <c r="B152" s="1" t="n">
        <v>44853</v>
      </c>
      <c r="C152" s="1" t="n">
        <v>45344</v>
      </c>
      <c r="D152" t="inlineStr">
        <is>
          <t>VÄSTRA GÖTALANDS LÄN</t>
        </is>
      </c>
      <c r="E152" t="inlineStr">
        <is>
          <t>HJO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47656-2022</t>
        </is>
      </c>
      <c r="B153" s="1" t="n">
        <v>44854</v>
      </c>
      <c r="C153" s="1" t="n">
        <v>45344</v>
      </c>
      <c r="D153" t="inlineStr">
        <is>
          <t>VÄSTRA GÖTALANDS LÄN</t>
        </is>
      </c>
      <c r="E153" t="inlineStr">
        <is>
          <t>HJO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47611-2022</t>
        </is>
      </c>
      <c r="B154" s="1" t="n">
        <v>44854</v>
      </c>
      <c r="C154" s="1" t="n">
        <v>45344</v>
      </c>
      <c r="D154" t="inlineStr">
        <is>
          <t>VÄSTRA GÖTALANDS LÄN</t>
        </is>
      </c>
      <c r="E154" t="inlineStr">
        <is>
          <t>HJO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47615-2022</t>
        </is>
      </c>
      <c r="B155" s="1" t="n">
        <v>44854</v>
      </c>
      <c r="C155" s="1" t="n">
        <v>45344</v>
      </c>
      <c r="D155" t="inlineStr">
        <is>
          <t>VÄSTRA GÖTALANDS LÄN</t>
        </is>
      </c>
      <c r="E155" t="inlineStr">
        <is>
          <t>HJO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47766-2022</t>
        </is>
      </c>
      <c r="B156" s="1" t="n">
        <v>44854</v>
      </c>
      <c r="C156" s="1" t="n">
        <v>45344</v>
      </c>
      <c r="D156" t="inlineStr">
        <is>
          <t>VÄSTRA GÖTALANDS LÄN</t>
        </is>
      </c>
      <c r="E156" t="inlineStr">
        <is>
          <t>HJO</t>
        </is>
      </c>
      <c r="G156" t="n">
        <v>12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50559-2022</t>
        </is>
      </c>
      <c r="B157" s="1" t="n">
        <v>44866</v>
      </c>
      <c r="C157" s="1" t="n">
        <v>45344</v>
      </c>
      <c r="D157" t="inlineStr">
        <is>
          <t>VÄSTRA GÖTALANDS LÄN</t>
        </is>
      </c>
      <c r="E157" t="inlineStr">
        <is>
          <t>HJO</t>
        </is>
      </c>
      <c r="G157" t="n">
        <v>7.7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57344-2022</t>
        </is>
      </c>
      <c r="B158" s="1" t="n">
        <v>44889</v>
      </c>
      <c r="C158" s="1" t="n">
        <v>45344</v>
      </c>
      <c r="D158" t="inlineStr">
        <is>
          <t>VÄSTRA GÖTALANDS LÄN</t>
        </is>
      </c>
      <c r="E158" t="inlineStr">
        <is>
          <t>HJO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58597-2022</t>
        </is>
      </c>
      <c r="B159" s="1" t="n">
        <v>44894</v>
      </c>
      <c r="C159" s="1" t="n">
        <v>45344</v>
      </c>
      <c r="D159" t="inlineStr">
        <is>
          <t>VÄSTRA GÖTALANDS LÄN</t>
        </is>
      </c>
      <c r="E159" t="inlineStr">
        <is>
          <t>HJO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57647-2022</t>
        </is>
      </c>
      <c r="B160" s="1" t="n">
        <v>44897</v>
      </c>
      <c r="C160" s="1" t="n">
        <v>45344</v>
      </c>
      <c r="D160" t="inlineStr">
        <is>
          <t>VÄSTRA GÖTALANDS LÄN</t>
        </is>
      </c>
      <c r="E160" t="inlineStr">
        <is>
          <t>HJO</t>
        </is>
      </c>
      <c r="G160" t="n">
        <v>8.699999999999999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61029-2022</t>
        </is>
      </c>
      <c r="B161" s="1" t="n">
        <v>44914</v>
      </c>
      <c r="C161" s="1" t="n">
        <v>45344</v>
      </c>
      <c r="D161" t="inlineStr">
        <is>
          <t>VÄSTRA GÖTALANDS LÄN</t>
        </is>
      </c>
      <c r="E161" t="inlineStr">
        <is>
          <t>HJO</t>
        </is>
      </c>
      <c r="G161" t="n">
        <v>28.3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62233-2022</t>
        </is>
      </c>
      <c r="B162" s="1" t="n">
        <v>44922</v>
      </c>
      <c r="C162" s="1" t="n">
        <v>45344</v>
      </c>
      <c r="D162" t="inlineStr">
        <is>
          <t>VÄSTRA GÖTALANDS LÄN</t>
        </is>
      </c>
      <c r="E162" t="inlineStr">
        <is>
          <t>HJO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62383-2022</t>
        </is>
      </c>
      <c r="B163" s="1" t="n">
        <v>44923</v>
      </c>
      <c r="C163" s="1" t="n">
        <v>45344</v>
      </c>
      <c r="D163" t="inlineStr">
        <is>
          <t>VÄSTRA GÖTALANDS LÄN</t>
        </is>
      </c>
      <c r="E163" t="inlineStr">
        <is>
          <t>HJO</t>
        </is>
      </c>
      <c r="F163" t="inlineStr">
        <is>
          <t>Övriga Aktiebolag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1181-2023</t>
        </is>
      </c>
      <c r="B164" s="1" t="n">
        <v>44935</v>
      </c>
      <c r="C164" s="1" t="n">
        <v>45344</v>
      </c>
      <c r="D164" t="inlineStr">
        <is>
          <t>VÄSTRA GÖTALANDS LÄN</t>
        </is>
      </c>
      <c r="E164" t="inlineStr">
        <is>
          <t>HJO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1108-2023</t>
        </is>
      </c>
      <c r="B165" s="1" t="n">
        <v>44935</v>
      </c>
      <c r="C165" s="1" t="n">
        <v>45344</v>
      </c>
      <c r="D165" t="inlineStr">
        <is>
          <t>VÄSTRA GÖTALANDS LÄN</t>
        </is>
      </c>
      <c r="E165" t="inlineStr">
        <is>
          <t>HJO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2060-2023</t>
        </is>
      </c>
      <c r="B166" s="1" t="n">
        <v>44939</v>
      </c>
      <c r="C166" s="1" t="n">
        <v>45344</v>
      </c>
      <c r="D166" t="inlineStr">
        <is>
          <t>VÄSTRA GÖTALANDS LÄN</t>
        </is>
      </c>
      <c r="E166" t="inlineStr">
        <is>
          <t>HJO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2070-2023</t>
        </is>
      </c>
      <c r="B167" s="1" t="n">
        <v>44939</v>
      </c>
      <c r="C167" s="1" t="n">
        <v>45344</v>
      </c>
      <c r="D167" t="inlineStr">
        <is>
          <t>VÄSTRA GÖTALANDS LÄN</t>
        </is>
      </c>
      <c r="E167" t="inlineStr">
        <is>
          <t>HJO</t>
        </is>
      </c>
      <c r="G167" t="n">
        <v>11.6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2866-2023</t>
        </is>
      </c>
      <c r="B168" s="1" t="n">
        <v>44945</v>
      </c>
      <c r="C168" s="1" t="n">
        <v>45344</v>
      </c>
      <c r="D168" t="inlineStr">
        <is>
          <t>VÄSTRA GÖTALANDS LÄN</t>
        </is>
      </c>
      <c r="E168" t="inlineStr">
        <is>
          <t>HJO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4272-2023</t>
        </is>
      </c>
      <c r="B169" s="1" t="n">
        <v>44951</v>
      </c>
      <c r="C169" s="1" t="n">
        <v>45344</v>
      </c>
      <c r="D169" t="inlineStr">
        <is>
          <t>VÄSTRA GÖTALANDS LÄN</t>
        </is>
      </c>
      <c r="E169" t="inlineStr">
        <is>
          <t>HJO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4516-2023</t>
        </is>
      </c>
      <c r="B170" s="1" t="n">
        <v>44956</v>
      </c>
      <c r="C170" s="1" t="n">
        <v>45344</v>
      </c>
      <c r="D170" t="inlineStr">
        <is>
          <t>VÄSTRA GÖTALANDS LÄN</t>
        </is>
      </c>
      <c r="E170" t="inlineStr">
        <is>
          <t>HJO</t>
        </is>
      </c>
      <c r="F170" t="inlineStr">
        <is>
          <t>Övriga Aktiebolag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4783-2023</t>
        </is>
      </c>
      <c r="B171" s="1" t="n">
        <v>44957</v>
      </c>
      <c r="C171" s="1" t="n">
        <v>45344</v>
      </c>
      <c r="D171" t="inlineStr">
        <is>
          <t>VÄSTRA GÖTALANDS LÄN</t>
        </is>
      </c>
      <c r="E171" t="inlineStr">
        <is>
          <t>HJO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5773-2023</t>
        </is>
      </c>
      <c r="B172" s="1" t="n">
        <v>44963</v>
      </c>
      <c r="C172" s="1" t="n">
        <v>45344</v>
      </c>
      <c r="D172" t="inlineStr">
        <is>
          <t>VÄSTRA GÖTALANDS LÄN</t>
        </is>
      </c>
      <c r="E172" t="inlineStr">
        <is>
          <t>HJO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5770-2023</t>
        </is>
      </c>
      <c r="B173" s="1" t="n">
        <v>44963</v>
      </c>
      <c r="C173" s="1" t="n">
        <v>45344</v>
      </c>
      <c r="D173" t="inlineStr">
        <is>
          <t>VÄSTRA GÖTALANDS LÄN</t>
        </is>
      </c>
      <c r="E173" t="inlineStr">
        <is>
          <t>HJO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5880-2023</t>
        </is>
      </c>
      <c r="B174" s="1" t="n">
        <v>44963</v>
      </c>
      <c r="C174" s="1" t="n">
        <v>45344</v>
      </c>
      <c r="D174" t="inlineStr">
        <is>
          <t>VÄSTRA GÖTALANDS LÄN</t>
        </is>
      </c>
      <c r="E174" t="inlineStr">
        <is>
          <t>HJO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5902-2023</t>
        </is>
      </c>
      <c r="B175" s="1" t="n">
        <v>44963</v>
      </c>
      <c r="C175" s="1" t="n">
        <v>45344</v>
      </c>
      <c r="D175" t="inlineStr">
        <is>
          <t>VÄSTRA GÖTALANDS LÄN</t>
        </is>
      </c>
      <c r="E175" t="inlineStr">
        <is>
          <t>HJO</t>
        </is>
      </c>
      <c r="G175" t="n">
        <v>7.7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9338-2023</t>
        </is>
      </c>
      <c r="B176" s="1" t="n">
        <v>44980</v>
      </c>
      <c r="C176" s="1" t="n">
        <v>45344</v>
      </c>
      <c r="D176" t="inlineStr">
        <is>
          <t>VÄSTRA GÖTALANDS LÄN</t>
        </is>
      </c>
      <c r="E176" t="inlineStr">
        <is>
          <t>HJO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9297-2023</t>
        </is>
      </c>
      <c r="B177" s="1" t="n">
        <v>44980</v>
      </c>
      <c r="C177" s="1" t="n">
        <v>45344</v>
      </c>
      <c r="D177" t="inlineStr">
        <is>
          <t>VÄSTRA GÖTALANDS LÄN</t>
        </is>
      </c>
      <c r="E177" t="inlineStr">
        <is>
          <t>HJO</t>
        </is>
      </c>
      <c r="F177" t="inlineStr">
        <is>
          <t>Övriga Aktiebolag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9473-2023</t>
        </is>
      </c>
      <c r="B178" s="1" t="n">
        <v>44981</v>
      </c>
      <c r="C178" s="1" t="n">
        <v>45344</v>
      </c>
      <c r="D178" t="inlineStr">
        <is>
          <t>VÄSTRA GÖTALANDS LÄN</t>
        </is>
      </c>
      <c r="E178" t="inlineStr">
        <is>
          <t>HJO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12554-2023</t>
        </is>
      </c>
      <c r="B179" s="1" t="n">
        <v>45000</v>
      </c>
      <c r="C179" s="1" t="n">
        <v>45344</v>
      </c>
      <c r="D179" t="inlineStr">
        <is>
          <t>VÄSTRA GÖTALANDS LÄN</t>
        </is>
      </c>
      <c r="E179" t="inlineStr">
        <is>
          <t>HJO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14177-2023</t>
        </is>
      </c>
      <c r="B180" s="1" t="n">
        <v>45008</v>
      </c>
      <c r="C180" s="1" t="n">
        <v>45344</v>
      </c>
      <c r="D180" t="inlineStr">
        <is>
          <t>VÄSTRA GÖTALANDS LÄN</t>
        </is>
      </c>
      <c r="E180" t="inlineStr">
        <is>
          <t>HJO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14189-2023</t>
        </is>
      </c>
      <c r="B181" s="1" t="n">
        <v>45009</v>
      </c>
      <c r="C181" s="1" t="n">
        <v>45344</v>
      </c>
      <c r="D181" t="inlineStr">
        <is>
          <t>VÄSTRA GÖTALANDS LÄN</t>
        </is>
      </c>
      <c r="E181" t="inlineStr">
        <is>
          <t>HJO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14196-2023</t>
        </is>
      </c>
      <c r="B182" s="1" t="n">
        <v>45009</v>
      </c>
      <c r="C182" s="1" t="n">
        <v>45344</v>
      </c>
      <c r="D182" t="inlineStr">
        <is>
          <t>VÄSTRA GÖTALANDS LÄN</t>
        </is>
      </c>
      <c r="E182" t="inlineStr">
        <is>
          <t>HJO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14460-2023</t>
        </is>
      </c>
      <c r="B183" s="1" t="n">
        <v>45010</v>
      </c>
      <c r="C183" s="1" t="n">
        <v>45344</v>
      </c>
      <c r="D183" t="inlineStr">
        <is>
          <t>VÄSTRA GÖTALANDS LÄN</t>
        </is>
      </c>
      <c r="E183" t="inlineStr">
        <is>
          <t>HJO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16352-2023</t>
        </is>
      </c>
      <c r="B184" s="1" t="n">
        <v>45028</v>
      </c>
      <c r="C184" s="1" t="n">
        <v>45344</v>
      </c>
      <c r="D184" t="inlineStr">
        <is>
          <t>VÄSTRA GÖTALANDS LÄN</t>
        </is>
      </c>
      <c r="E184" t="inlineStr">
        <is>
          <t>HJO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17034-2023</t>
        </is>
      </c>
      <c r="B185" s="1" t="n">
        <v>45034</v>
      </c>
      <c r="C185" s="1" t="n">
        <v>45344</v>
      </c>
      <c r="D185" t="inlineStr">
        <is>
          <t>VÄSTRA GÖTALANDS LÄN</t>
        </is>
      </c>
      <c r="E185" t="inlineStr">
        <is>
          <t>HJO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22050-2023</t>
        </is>
      </c>
      <c r="B186" s="1" t="n">
        <v>45069</v>
      </c>
      <c r="C186" s="1" t="n">
        <v>45344</v>
      </c>
      <c r="D186" t="inlineStr">
        <is>
          <t>VÄSTRA GÖTALANDS LÄN</t>
        </is>
      </c>
      <c r="E186" t="inlineStr">
        <is>
          <t>HJO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26206-2023</t>
        </is>
      </c>
      <c r="B187" s="1" t="n">
        <v>45091</v>
      </c>
      <c r="C187" s="1" t="n">
        <v>45344</v>
      </c>
      <c r="D187" t="inlineStr">
        <is>
          <t>VÄSTRA GÖTALANDS LÄN</t>
        </is>
      </c>
      <c r="E187" t="inlineStr">
        <is>
          <t>HJO</t>
        </is>
      </c>
      <c r="F187" t="inlineStr">
        <is>
          <t>Övriga Aktiebolag</t>
        </is>
      </c>
      <c r="G187" t="n">
        <v>12.5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26230-2023</t>
        </is>
      </c>
      <c r="B188" s="1" t="n">
        <v>45091</v>
      </c>
      <c r="C188" s="1" t="n">
        <v>45344</v>
      </c>
      <c r="D188" t="inlineStr">
        <is>
          <t>VÄSTRA GÖTALANDS LÄN</t>
        </is>
      </c>
      <c r="E188" t="inlineStr">
        <is>
          <t>HJO</t>
        </is>
      </c>
      <c r="F188" t="inlineStr">
        <is>
          <t>Övriga Aktiebolag</t>
        </is>
      </c>
      <c r="G188" t="n">
        <v>9.4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26769-2023</t>
        </is>
      </c>
      <c r="B189" s="1" t="n">
        <v>45093</v>
      </c>
      <c r="C189" s="1" t="n">
        <v>45344</v>
      </c>
      <c r="D189" t="inlineStr">
        <is>
          <t>VÄSTRA GÖTALANDS LÄN</t>
        </is>
      </c>
      <c r="E189" t="inlineStr">
        <is>
          <t>HJO</t>
        </is>
      </c>
      <c r="F189" t="inlineStr">
        <is>
          <t>Kyrkan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27631-2023</t>
        </is>
      </c>
      <c r="B190" s="1" t="n">
        <v>45097</v>
      </c>
      <c r="C190" s="1" t="n">
        <v>45344</v>
      </c>
      <c r="D190" t="inlineStr">
        <is>
          <t>VÄSTRA GÖTALANDS LÄN</t>
        </is>
      </c>
      <c r="E190" t="inlineStr">
        <is>
          <t>HJO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27977-2023</t>
        </is>
      </c>
      <c r="B191" s="1" t="n">
        <v>45098</v>
      </c>
      <c r="C191" s="1" t="n">
        <v>45344</v>
      </c>
      <c r="D191" t="inlineStr">
        <is>
          <t>VÄSTRA GÖTALANDS LÄN</t>
        </is>
      </c>
      <c r="E191" t="inlineStr">
        <is>
          <t>HJO</t>
        </is>
      </c>
      <c r="F191" t="inlineStr">
        <is>
          <t>Sveaskog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28858-2023</t>
        </is>
      </c>
      <c r="B192" s="1" t="n">
        <v>45104</v>
      </c>
      <c r="C192" s="1" t="n">
        <v>45344</v>
      </c>
      <c r="D192" t="inlineStr">
        <is>
          <t>VÄSTRA GÖTALANDS LÄN</t>
        </is>
      </c>
      <c r="E192" t="inlineStr">
        <is>
          <t>HJO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29670-2023</t>
        </is>
      </c>
      <c r="B193" s="1" t="n">
        <v>45107</v>
      </c>
      <c r="C193" s="1" t="n">
        <v>45344</v>
      </c>
      <c r="D193" t="inlineStr">
        <is>
          <t>VÄSTRA GÖTALANDS LÄN</t>
        </is>
      </c>
      <c r="E193" t="inlineStr">
        <is>
          <t>HJO</t>
        </is>
      </c>
      <c r="F193" t="inlineStr">
        <is>
          <t>Kyrkan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29731-2023</t>
        </is>
      </c>
      <c r="B194" s="1" t="n">
        <v>45107</v>
      </c>
      <c r="C194" s="1" t="n">
        <v>45344</v>
      </c>
      <c r="D194" t="inlineStr">
        <is>
          <t>VÄSTRA GÖTALANDS LÄN</t>
        </is>
      </c>
      <c r="E194" t="inlineStr">
        <is>
          <t>HJO</t>
        </is>
      </c>
      <c r="F194" t="inlineStr">
        <is>
          <t>Kyrkan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32304-2023</t>
        </is>
      </c>
      <c r="B195" s="1" t="n">
        <v>45109</v>
      </c>
      <c r="C195" s="1" t="n">
        <v>45344</v>
      </c>
      <c r="D195" t="inlineStr">
        <is>
          <t>VÄSTRA GÖTALANDS LÄN</t>
        </is>
      </c>
      <c r="E195" t="inlineStr">
        <is>
          <t>HJO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30636-2023</t>
        </is>
      </c>
      <c r="B196" s="1" t="n">
        <v>45112</v>
      </c>
      <c r="C196" s="1" t="n">
        <v>45344</v>
      </c>
      <c r="D196" t="inlineStr">
        <is>
          <t>VÄSTRA GÖTALANDS LÄN</t>
        </is>
      </c>
      <c r="E196" t="inlineStr">
        <is>
          <t>HJO</t>
        </is>
      </c>
      <c r="F196" t="inlineStr">
        <is>
          <t>Kyrkan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30884-2023</t>
        </is>
      </c>
      <c r="B197" s="1" t="n">
        <v>45113</v>
      </c>
      <c r="C197" s="1" t="n">
        <v>45344</v>
      </c>
      <c r="D197" t="inlineStr">
        <is>
          <t>VÄSTRA GÖTALANDS LÄN</t>
        </is>
      </c>
      <c r="E197" t="inlineStr">
        <is>
          <t>HJO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30970-2023</t>
        </is>
      </c>
      <c r="B198" s="1" t="n">
        <v>45113</v>
      </c>
      <c r="C198" s="1" t="n">
        <v>45344</v>
      </c>
      <c r="D198" t="inlineStr">
        <is>
          <t>VÄSTRA GÖTALANDS LÄN</t>
        </is>
      </c>
      <c r="E198" t="inlineStr">
        <is>
          <t>HJO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34858-2023</t>
        </is>
      </c>
      <c r="B199" s="1" t="n">
        <v>45142</v>
      </c>
      <c r="C199" s="1" t="n">
        <v>45344</v>
      </c>
      <c r="D199" t="inlineStr">
        <is>
          <t>VÄSTRA GÖTALANDS LÄN</t>
        </is>
      </c>
      <c r="E199" t="inlineStr">
        <is>
          <t>HJO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34859-2023</t>
        </is>
      </c>
      <c r="B200" s="1" t="n">
        <v>45142</v>
      </c>
      <c r="C200" s="1" t="n">
        <v>45344</v>
      </c>
      <c r="D200" t="inlineStr">
        <is>
          <t>VÄSTRA GÖTALANDS LÄN</t>
        </is>
      </c>
      <c r="E200" t="inlineStr">
        <is>
          <t>HJO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34857-2023</t>
        </is>
      </c>
      <c r="B201" s="1" t="n">
        <v>45142</v>
      </c>
      <c r="C201" s="1" t="n">
        <v>45344</v>
      </c>
      <c r="D201" t="inlineStr">
        <is>
          <t>VÄSTRA GÖTALANDS LÄN</t>
        </is>
      </c>
      <c r="E201" t="inlineStr">
        <is>
          <t>HJO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35486-2023</t>
        </is>
      </c>
      <c r="B202" s="1" t="n">
        <v>45146</v>
      </c>
      <c r="C202" s="1" t="n">
        <v>45344</v>
      </c>
      <c r="D202" t="inlineStr">
        <is>
          <t>VÄSTRA GÖTALANDS LÄN</t>
        </is>
      </c>
      <c r="E202" t="inlineStr">
        <is>
          <t>HJO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38186-2023</t>
        </is>
      </c>
      <c r="B203" s="1" t="n">
        <v>45161</v>
      </c>
      <c r="C203" s="1" t="n">
        <v>45344</v>
      </c>
      <c r="D203" t="inlineStr">
        <is>
          <t>VÄSTRA GÖTALANDS LÄN</t>
        </is>
      </c>
      <c r="E203" t="inlineStr">
        <is>
          <t>HJO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39537-2023</t>
        </is>
      </c>
      <c r="B204" s="1" t="n">
        <v>45167</v>
      </c>
      <c r="C204" s="1" t="n">
        <v>45344</v>
      </c>
      <c r="D204" t="inlineStr">
        <is>
          <t>VÄSTRA GÖTALANDS LÄN</t>
        </is>
      </c>
      <c r="E204" t="inlineStr">
        <is>
          <t>HJO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39542-2023</t>
        </is>
      </c>
      <c r="B205" s="1" t="n">
        <v>45167</v>
      </c>
      <c r="C205" s="1" t="n">
        <v>45344</v>
      </c>
      <c r="D205" t="inlineStr">
        <is>
          <t>VÄSTRA GÖTALANDS LÄN</t>
        </is>
      </c>
      <c r="E205" t="inlineStr">
        <is>
          <t>HJO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39540-2023</t>
        </is>
      </c>
      <c r="B206" s="1" t="n">
        <v>45167</v>
      </c>
      <c r="C206" s="1" t="n">
        <v>45344</v>
      </c>
      <c r="D206" t="inlineStr">
        <is>
          <t>VÄSTRA GÖTALANDS LÄN</t>
        </is>
      </c>
      <c r="E206" t="inlineStr">
        <is>
          <t>HJO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39538-2023</t>
        </is>
      </c>
      <c r="B207" s="1" t="n">
        <v>45167</v>
      </c>
      <c r="C207" s="1" t="n">
        <v>45344</v>
      </c>
      <c r="D207" t="inlineStr">
        <is>
          <t>VÄSTRA GÖTALANDS LÄN</t>
        </is>
      </c>
      <c r="E207" t="inlineStr">
        <is>
          <t>HJO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44684-2023</t>
        </is>
      </c>
      <c r="B208" s="1" t="n">
        <v>45186</v>
      </c>
      <c r="C208" s="1" t="n">
        <v>45344</v>
      </c>
      <c r="D208" t="inlineStr">
        <is>
          <t>VÄSTRA GÖTALANDS LÄN</t>
        </is>
      </c>
      <c r="E208" t="inlineStr">
        <is>
          <t>HJO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46520-2023</t>
        </is>
      </c>
      <c r="B209" s="1" t="n">
        <v>45197</v>
      </c>
      <c r="C209" s="1" t="n">
        <v>45344</v>
      </c>
      <c r="D209" t="inlineStr">
        <is>
          <t>VÄSTRA GÖTALANDS LÄN</t>
        </is>
      </c>
      <c r="E209" t="inlineStr">
        <is>
          <t>HJO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46790-2023</t>
        </is>
      </c>
      <c r="B210" s="1" t="n">
        <v>45198</v>
      </c>
      <c r="C210" s="1" t="n">
        <v>45344</v>
      </c>
      <c r="D210" t="inlineStr">
        <is>
          <t>VÄSTRA GÖTALANDS LÄN</t>
        </is>
      </c>
      <c r="E210" t="inlineStr">
        <is>
          <t>HJO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46762-2023</t>
        </is>
      </c>
      <c r="B211" s="1" t="n">
        <v>45198</v>
      </c>
      <c r="C211" s="1" t="n">
        <v>45344</v>
      </c>
      <c r="D211" t="inlineStr">
        <is>
          <t>VÄSTRA GÖTALANDS LÄN</t>
        </is>
      </c>
      <c r="E211" t="inlineStr">
        <is>
          <t>HJO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46787-2023</t>
        </is>
      </c>
      <c r="B212" s="1" t="n">
        <v>45198</v>
      </c>
      <c r="C212" s="1" t="n">
        <v>45344</v>
      </c>
      <c r="D212" t="inlineStr">
        <is>
          <t>VÄSTRA GÖTALANDS LÄN</t>
        </is>
      </c>
      <c r="E212" t="inlineStr">
        <is>
          <t>HJO</t>
        </is>
      </c>
      <c r="G212" t="n">
        <v>8.800000000000001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47658-2023</t>
        </is>
      </c>
      <c r="B213" s="1" t="n">
        <v>45203</v>
      </c>
      <c r="C213" s="1" t="n">
        <v>45344</v>
      </c>
      <c r="D213" t="inlineStr">
        <is>
          <t>VÄSTRA GÖTALANDS LÄN</t>
        </is>
      </c>
      <c r="E213" t="inlineStr">
        <is>
          <t>HJO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49025-2023</t>
        </is>
      </c>
      <c r="B214" s="1" t="n">
        <v>45209</v>
      </c>
      <c r="C214" s="1" t="n">
        <v>45344</v>
      </c>
      <c r="D214" t="inlineStr">
        <is>
          <t>VÄSTRA GÖTALANDS LÄN</t>
        </is>
      </c>
      <c r="E214" t="inlineStr">
        <is>
          <t>HJO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50152-2023</t>
        </is>
      </c>
      <c r="B215" s="1" t="n">
        <v>45215</v>
      </c>
      <c r="C215" s="1" t="n">
        <v>45344</v>
      </c>
      <c r="D215" t="inlineStr">
        <is>
          <t>VÄSTRA GÖTALANDS LÄN</t>
        </is>
      </c>
      <c r="E215" t="inlineStr">
        <is>
          <t>HJO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50589-2023</t>
        </is>
      </c>
      <c r="B216" s="1" t="n">
        <v>45217</v>
      </c>
      <c r="C216" s="1" t="n">
        <v>45344</v>
      </c>
      <c r="D216" t="inlineStr">
        <is>
          <t>VÄSTRA GÖTALANDS LÄN</t>
        </is>
      </c>
      <c r="E216" t="inlineStr">
        <is>
          <t>HJO</t>
        </is>
      </c>
      <c r="F216" t="inlineStr">
        <is>
          <t>Kyrkan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52079-2023</t>
        </is>
      </c>
      <c r="B217" s="1" t="n">
        <v>45223</v>
      </c>
      <c r="C217" s="1" t="n">
        <v>45344</v>
      </c>
      <c r="D217" t="inlineStr">
        <is>
          <t>VÄSTRA GÖTALANDS LÄN</t>
        </is>
      </c>
      <c r="E217" t="inlineStr">
        <is>
          <t>HJO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52173-2023</t>
        </is>
      </c>
      <c r="B218" s="1" t="n">
        <v>45224</v>
      </c>
      <c r="C218" s="1" t="n">
        <v>45344</v>
      </c>
      <c r="D218" t="inlineStr">
        <is>
          <t>VÄSTRA GÖTALANDS LÄN</t>
        </is>
      </c>
      <c r="E218" t="inlineStr">
        <is>
          <t>HJO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54902-2023</t>
        </is>
      </c>
      <c r="B219" s="1" t="n">
        <v>45229</v>
      </c>
      <c r="C219" s="1" t="n">
        <v>45344</v>
      </c>
      <c r="D219" t="inlineStr">
        <is>
          <t>VÄSTRA GÖTALANDS LÄN</t>
        </is>
      </c>
      <c r="E219" t="inlineStr">
        <is>
          <t>HJO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55119-2023</t>
        </is>
      </c>
      <c r="B220" s="1" t="n">
        <v>45237</v>
      </c>
      <c r="C220" s="1" t="n">
        <v>45344</v>
      </c>
      <c r="D220" t="inlineStr">
        <is>
          <t>VÄSTRA GÖTALANDS LÄN</t>
        </is>
      </c>
      <c r="E220" t="inlineStr">
        <is>
          <t>HJO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59147-2023</t>
        </is>
      </c>
      <c r="B221" s="1" t="n">
        <v>45251</v>
      </c>
      <c r="C221" s="1" t="n">
        <v>45344</v>
      </c>
      <c r="D221" t="inlineStr">
        <is>
          <t>VÄSTRA GÖTALANDS LÄN</t>
        </is>
      </c>
      <c r="E221" t="inlineStr">
        <is>
          <t>HJO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59444-2023</t>
        </is>
      </c>
      <c r="B222" s="1" t="n">
        <v>45254</v>
      </c>
      <c r="C222" s="1" t="n">
        <v>45344</v>
      </c>
      <c r="D222" t="inlineStr">
        <is>
          <t>VÄSTRA GÖTALANDS LÄN</t>
        </is>
      </c>
      <c r="E222" t="inlineStr">
        <is>
          <t>HJO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59452-2023</t>
        </is>
      </c>
      <c r="B223" s="1" t="n">
        <v>45254</v>
      </c>
      <c r="C223" s="1" t="n">
        <v>45344</v>
      </c>
      <c r="D223" t="inlineStr">
        <is>
          <t>VÄSTRA GÖTALANDS LÄN</t>
        </is>
      </c>
      <c r="E223" t="inlineStr">
        <is>
          <t>HJO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59986-2023</t>
        </is>
      </c>
      <c r="B224" s="1" t="n">
        <v>45257</v>
      </c>
      <c r="C224" s="1" t="n">
        <v>45344</v>
      </c>
      <c r="D224" t="inlineStr">
        <is>
          <t>VÄSTRA GÖTALANDS LÄN</t>
        </is>
      </c>
      <c r="E224" t="inlineStr">
        <is>
          <t>HJO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61439-2023</t>
        </is>
      </c>
      <c r="B225" s="1" t="n">
        <v>45264</v>
      </c>
      <c r="C225" s="1" t="n">
        <v>45344</v>
      </c>
      <c r="D225" t="inlineStr">
        <is>
          <t>VÄSTRA GÖTALANDS LÄN</t>
        </is>
      </c>
      <c r="E225" t="inlineStr">
        <is>
          <t>HJO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61700-2023</t>
        </is>
      </c>
      <c r="B226" s="1" t="n">
        <v>45265</v>
      </c>
      <c r="C226" s="1" t="n">
        <v>45344</v>
      </c>
      <c r="D226" t="inlineStr">
        <is>
          <t>VÄSTRA GÖTALANDS LÄN</t>
        </is>
      </c>
      <c r="E226" t="inlineStr">
        <is>
          <t>HJO</t>
        </is>
      </c>
      <c r="F226" t="inlineStr">
        <is>
          <t>Sveaskog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61925-2023</t>
        </is>
      </c>
      <c r="B227" s="1" t="n">
        <v>45266</v>
      </c>
      <c r="C227" s="1" t="n">
        <v>45344</v>
      </c>
      <c r="D227" t="inlineStr">
        <is>
          <t>VÄSTRA GÖTALANDS LÄN</t>
        </is>
      </c>
      <c r="E227" t="inlineStr">
        <is>
          <t>HJO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62171-2023</t>
        </is>
      </c>
      <c r="B228" s="1" t="n">
        <v>45267</v>
      </c>
      <c r="C228" s="1" t="n">
        <v>45344</v>
      </c>
      <c r="D228" t="inlineStr">
        <is>
          <t>VÄSTRA GÖTALANDS LÄN</t>
        </is>
      </c>
      <c r="E228" t="inlineStr">
        <is>
          <t>HJO</t>
        </is>
      </c>
      <c r="F228" t="inlineStr">
        <is>
          <t>Sveaskog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62251-2023</t>
        </is>
      </c>
      <c r="B229" s="1" t="n">
        <v>45267</v>
      </c>
      <c r="C229" s="1" t="n">
        <v>45344</v>
      </c>
      <c r="D229" t="inlineStr">
        <is>
          <t>VÄSTRA GÖTALANDS LÄN</t>
        </is>
      </c>
      <c r="E229" t="inlineStr">
        <is>
          <t>HJO</t>
        </is>
      </c>
      <c r="F229" t="inlineStr">
        <is>
          <t>Sveaskog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62884-2023</t>
        </is>
      </c>
      <c r="B230" s="1" t="n">
        <v>45272</v>
      </c>
      <c r="C230" s="1" t="n">
        <v>45344</v>
      </c>
      <c r="D230" t="inlineStr">
        <is>
          <t>VÄSTRA GÖTALANDS LÄN</t>
        </is>
      </c>
      <c r="E230" t="inlineStr">
        <is>
          <t>HJO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63121-2023</t>
        </is>
      </c>
      <c r="B231" s="1" t="n">
        <v>45273</v>
      </c>
      <c r="C231" s="1" t="n">
        <v>45344</v>
      </c>
      <c r="D231" t="inlineStr">
        <is>
          <t>VÄSTRA GÖTALANDS LÄN</t>
        </is>
      </c>
      <c r="E231" t="inlineStr">
        <is>
          <t>HJO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602-2024</t>
        </is>
      </c>
      <c r="B232" s="1" t="n">
        <v>45299</v>
      </c>
      <c r="C232" s="1" t="n">
        <v>45344</v>
      </c>
      <c r="D232" t="inlineStr">
        <is>
          <t>VÄSTRA GÖTALANDS LÄN</t>
        </is>
      </c>
      <c r="E232" t="inlineStr">
        <is>
          <t>HJO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724-2024</t>
        </is>
      </c>
      <c r="B233" s="1" t="n">
        <v>45300</v>
      </c>
      <c r="C233" s="1" t="n">
        <v>45344</v>
      </c>
      <c r="D233" t="inlineStr">
        <is>
          <t>VÄSTRA GÖTALANDS LÄN</t>
        </is>
      </c>
      <c r="E233" t="inlineStr">
        <is>
          <t>HJO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2016-2024</t>
        </is>
      </c>
      <c r="B234" s="1" t="n">
        <v>45308</v>
      </c>
      <c r="C234" s="1" t="n">
        <v>45344</v>
      </c>
      <c r="D234" t="inlineStr">
        <is>
          <t>VÄSTRA GÖTALANDS LÄN</t>
        </is>
      </c>
      <c r="E234" t="inlineStr">
        <is>
          <t>HJO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2885-2024</t>
        </is>
      </c>
      <c r="B235" s="1" t="n">
        <v>45315</v>
      </c>
      <c r="C235" s="1" t="n">
        <v>45344</v>
      </c>
      <c r="D235" t="inlineStr">
        <is>
          <t>VÄSTRA GÖTALANDS LÄN</t>
        </is>
      </c>
      <c r="E235" t="inlineStr">
        <is>
          <t>HJO</t>
        </is>
      </c>
      <c r="F235" t="inlineStr">
        <is>
          <t>Övriga Aktiebolag</t>
        </is>
      </c>
      <c r="G235" t="n">
        <v>13.8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3547-2024</t>
        </is>
      </c>
      <c r="B236" s="1" t="n">
        <v>45320</v>
      </c>
      <c r="C236" s="1" t="n">
        <v>45344</v>
      </c>
      <c r="D236" t="inlineStr">
        <is>
          <t>VÄSTRA GÖTALANDS LÄN</t>
        </is>
      </c>
      <c r="E236" t="inlineStr">
        <is>
          <t>HJO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3751-2024</t>
        </is>
      </c>
      <c r="B237" s="1" t="n">
        <v>45321</v>
      </c>
      <c r="C237" s="1" t="n">
        <v>45344</v>
      </c>
      <c r="D237" t="inlineStr">
        <is>
          <t>VÄSTRA GÖTALANDS LÄN</t>
        </is>
      </c>
      <c r="E237" t="inlineStr">
        <is>
          <t>HJO</t>
        </is>
      </c>
      <c r="G237" t="n">
        <v>10.7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>
      <c r="A238" t="inlineStr">
        <is>
          <t>A 4925-2024</t>
        </is>
      </c>
      <c r="B238" s="1" t="n">
        <v>45329</v>
      </c>
      <c r="C238" s="1" t="n">
        <v>45344</v>
      </c>
      <c r="D238" t="inlineStr">
        <is>
          <t>VÄSTRA GÖTALANDS LÄN</t>
        </is>
      </c>
      <c r="E238" t="inlineStr">
        <is>
          <t>HJO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2024-02-22T06:51:02Z</dcterms:created>
  <dcterms:modified xmlns:dcterms="http://purl.org/dc/terms/" xmlns:xsi="http://www.w3.org/2001/XMLSchema-instance" xsi:type="dcterms:W3CDTF">2024-02-22T06:51:08Z</dcterms:modified>
</cp:coreProperties>
</file>