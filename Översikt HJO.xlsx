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46253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46253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46253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46253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46253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46253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S 4605-2024</t>
        </is>
      </c>
      <c r="B9" t="inlineStr">
        <is>
          <t>samrådsanmälan</t>
        </is>
      </c>
      <c r="C9" t="inlineStr">
        <is>
          <t>Skogsbilväg</t>
        </is>
      </c>
      <c r="D9" s="1" t="n">
        <v>45601</v>
      </c>
      <c r="E9" s="1" t="n">
        <v>46253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HYPERLINK("https://klasma.github.io/Logging_1497/artfynd/S 4605-2024 artfynd.xlsx", "S 4605-2024")</f>
        <v/>
      </c>
      <c r="X9">
        <f>HYPERLINK("https://klasma.github.io/Logging_1497/kartor/S 4605-2024 karta.png", "S 4605-2024")</f>
        <v/>
      </c>
      <c r="Y9">
        <f>HYPERLINK("https://klasma.github.io/Logging_1497/kartor_geotiff/S 4605-2024 georefererad karta.tif", "S 4605-2024")</f>
        <v/>
      </c>
      <c r="AA9">
        <f>HYPERLINK("https://klasma.github.io/Logging_1497/klagomål/S 4605-2024 FSC-klagomål.docx", "S 4605-2024")</f>
        <v/>
      </c>
      <c r="AB9">
        <f>HYPERLINK("https://klasma.github.io/Logging_1497/klagomålsmail/S 4605-2024 FSC-klagomål mail.docx", "S 4605-2024")</f>
        <v/>
      </c>
      <c r="AC9">
        <f>HYPERLINK("https://klasma.github.io/Logging_1497/tillsyn/S 4605-2024 tillsynsbegäran.docx", "S 4605-2024")</f>
        <v/>
      </c>
      <c r="AD9">
        <f>HYPERLINK("https://klasma.github.io/Logging_1497/tillsynsmail/S 4605-2024 tillsynsbegäran mail.docx", "S 4605-2024")</f>
        <v/>
      </c>
    </row>
    <row r="10" ht="15" customHeight="1">
      <c r="A10" t="inlineStr">
        <is>
          <t>A 35602-2022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44799</v>
      </c>
      <c r="E10" s="1" t="n">
        <v>46253</v>
      </c>
      <c r="F10" t="inlineStr">
        <is>
          <t>VÄSTRA GÖTALANDS LÄN</t>
        </is>
      </c>
      <c r="G10" t="inlineStr">
        <is>
          <t>HJO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25205-2022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46253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67995-2021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44525</v>
      </c>
      <c r="E12" s="1" t="n">
        <v>46253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46253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19341-2022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44692</v>
      </c>
      <c r="E14" s="1" t="n">
        <v>46253</v>
      </c>
      <c r="F14" t="inlineStr">
        <is>
          <t>VÄSTRA GÖTALANDS LÄN</t>
        </is>
      </c>
      <c r="G14" t="inlineStr">
        <is>
          <t>HJO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50559-2022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46253</v>
      </c>
      <c r="F15" t="inlineStr">
        <is>
          <t>VÄSTRA GÖTALANDS LÄN</t>
        </is>
      </c>
      <c r="G15" t="inlineStr">
        <is>
          <t>HJO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46253</v>
      </c>
      <c r="F16" t="inlineStr">
        <is>
          <t>VÄSTRA GÖTALANDS LÄN</t>
        </is>
      </c>
      <c r="G16" t="inlineStr">
        <is>
          <t>HJO</t>
        </is>
      </c>
      <c r="I16" t="n">
        <v>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45980-2022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44846</v>
      </c>
      <c r="E17" s="1" t="n">
        <v>46253</v>
      </c>
      <c r="F17" t="inlineStr">
        <is>
          <t>VÄSTRA GÖTALANDS LÄN</t>
        </is>
      </c>
      <c r="G17" t="inlineStr">
        <is>
          <t>HJO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65329-2021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44515</v>
      </c>
      <c r="E18" s="1" t="n">
        <v>46253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55091-2021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46253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44852</v>
      </c>
      <c r="E20" s="1" t="n">
        <v>46253</v>
      </c>
      <c r="F20" t="inlineStr">
        <is>
          <t>VÄSTRA GÖTALANDS LÄN</t>
        </is>
      </c>
      <c r="G20" t="inlineStr">
        <is>
          <t>HJO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35216-2022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44797</v>
      </c>
      <c r="E21" s="1" t="n">
        <v>46253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28512-2022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46253</v>
      </c>
      <c r="F22" t="inlineStr">
        <is>
          <t>VÄSTRA GÖTALANDS LÄN</t>
        </is>
      </c>
      <c r="G22" t="inlineStr">
        <is>
          <t>HJO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58495-2021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46253</v>
      </c>
      <c r="F23" t="inlineStr">
        <is>
          <t>VÄSTRA GÖTALANDS LÄN</t>
        </is>
      </c>
      <c r="G23" t="inlineStr">
        <is>
          <t>HJO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46253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63257-2021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46253</v>
      </c>
      <c r="F25" t="inlineStr">
        <is>
          <t>VÄSTRA GÖTALANDS LÄN</t>
        </is>
      </c>
      <c r="G25" t="inlineStr">
        <is>
          <t>HJO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44608</v>
      </c>
      <c r="E26" s="1" t="n">
        <v>46253</v>
      </c>
      <c r="F26" t="inlineStr">
        <is>
          <t>VÄSTRA GÖTALANDS LÄN</t>
        </is>
      </c>
      <c r="G26" t="inlineStr">
        <is>
          <t>HJO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46253</v>
      </c>
      <c r="F27" t="inlineStr">
        <is>
          <t>VÄSTRA GÖTALANDS LÄN</t>
        </is>
      </c>
      <c r="G27" t="inlineStr">
        <is>
          <t>HJO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50783-2021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44456</v>
      </c>
      <c r="E28" s="1" t="n">
        <v>46253</v>
      </c>
      <c r="F28" t="inlineStr">
        <is>
          <t>VÄSTRA GÖTALANDS LÄN</t>
        </is>
      </c>
      <c r="G28" t="inlineStr">
        <is>
          <t>HJO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44641</v>
      </c>
      <c r="E29" s="1" t="n">
        <v>46253</v>
      </c>
      <c r="F29" t="inlineStr">
        <is>
          <t>VÄSTRA GÖTALANDS LÄN</t>
        </is>
      </c>
      <c r="G29" t="inlineStr">
        <is>
          <t>HJO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46253</v>
      </c>
      <c r="F30" t="inlineStr">
        <is>
          <t>VÄSTRA GÖTALANDS LÄN</t>
        </is>
      </c>
      <c r="G30" t="inlineStr">
        <is>
          <t>HJO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44456</v>
      </c>
      <c r="E31" s="1" t="n">
        <v>46253</v>
      </c>
      <c r="F31" t="inlineStr">
        <is>
          <t>VÄSTRA GÖTALANDS LÄN</t>
        </is>
      </c>
      <c r="G31" t="inlineStr">
        <is>
          <t>HJO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44606</v>
      </c>
      <c r="E32" s="1" t="n">
        <v>46253</v>
      </c>
      <c r="F32" t="inlineStr">
        <is>
          <t>VÄSTRA GÖTALANDS LÄN</t>
        </is>
      </c>
      <c r="G32" t="inlineStr">
        <is>
          <t>HJO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46253</v>
      </c>
      <c r="F33" t="inlineStr">
        <is>
          <t>VÄSTRA GÖTALANDS LÄN</t>
        </is>
      </c>
      <c r="G33" t="inlineStr">
        <is>
          <t>HJO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46253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46253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44477</v>
      </c>
      <c r="E36" s="1" t="n">
        <v>46253</v>
      </c>
      <c r="F36" t="inlineStr">
        <is>
          <t>VÄSTRA GÖTALANDS LÄN</t>
        </is>
      </c>
      <c r="G36" t="inlineStr">
        <is>
          <t>HJO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46253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46253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42295-2021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46253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46253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44684-2023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45186</v>
      </c>
      <c r="E41" s="1" t="n">
        <v>46253</v>
      </c>
      <c r="F41" t="inlineStr">
        <is>
          <t>VÄSTRA GÖTALANDS LÄN</t>
        </is>
      </c>
      <c r="G41" t="inlineStr">
        <is>
          <t>HJO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46253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46253</v>
      </c>
      <c r="F43" t="inlineStr">
        <is>
          <t>VÄSTRA GÖTALANDS LÄN</t>
        </is>
      </c>
      <c r="G43" t="inlineStr">
        <is>
          <t>HJO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46253</v>
      </c>
      <c r="F44" t="inlineStr">
        <is>
          <t>VÄSTRA GÖTALANDS LÄN</t>
        </is>
      </c>
      <c r="G44" t="inlineStr">
        <is>
          <t>HJO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46253</v>
      </c>
      <c r="F45" t="inlineStr">
        <is>
          <t>VÄSTRA GÖTALANDS LÄN</t>
        </is>
      </c>
      <c r="G45" t="inlineStr">
        <is>
          <t>HJO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46253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46253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44446</v>
      </c>
      <c r="E48" s="1" t="n">
        <v>46253</v>
      </c>
      <c r="F48" t="inlineStr">
        <is>
          <t>VÄSTRA GÖTALANDS LÄN</t>
        </is>
      </c>
      <c r="G48" t="inlineStr">
        <is>
          <t>HJO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46253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44939</v>
      </c>
      <c r="E50" s="1" t="n">
        <v>46253</v>
      </c>
      <c r="F50" t="inlineStr">
        <is>
          <t>VÄSTRA GÖTALANDS LÄN</t>
        </is>
      </c>
      <c r="G50" t="inlineStr">
        <is>
          <t>HJO</t>
        </is>
      </c>
      <c r="I50" t="n">
        <v>11.6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44945</v>
      </c>
      <c r="E51" s="1" t="n">
        <v>46253</v>
      </c>
      <c r="F51" t="inlineStr">
        <is>
          <t>VÄSTRA GÖTALANDS LÄN</t>
        </is>
      </c>
      <c r="G51" t="inlineStr">
        <is>
          <t>HJO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62233-2022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44922</v>
      </c>
      <c r="E52" s="1" t="n">
        <v>46253</v>
      </c>
      <c r="F52" t="inlineStr">
        <is>
          <t>VÄSTRA GÖTALANDS LÄN</t>
        </is>
      </c>
      <c r="G52" t="inlineStr">
        <is>
          <t>HJO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44939</v>
      </c>
      <c r="E53" s="1" t="n">
        <v>46253</v>
      </c>
      <c r="F53" t="inlineStr">
        <is>
          <t>VÄSTRA GÖTALANDS LÄN</t>
        </is>
      </c>
      <c r="G53" t="inlineStr">
        <is>
          <t>HJO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46253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46253</v>
      </c>
      <c r="F55" t="inlineStr">
        <is>
          <t>VÄSTRA GÖTALANDS LÄN</t>
        </is>
      </c>
      <c r="G55" t="inlineStr">
        <is>
          <t>HJO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46253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45685</v>
      </c>
      <c r="E57" s="1" t="n">
        <v>46253</v>
      </c>
      <c r="F57" t="inlineStr">
        <is>
          <t>VÄSTRA GÖTALANDS LÄN</t>
        </is>
      </c>
      <c r="G57" t="inlineStr">
        <is>
          <t>HJO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45390</v>
      </c>
      <c r="E58" s="1" t="n">
        <v>46253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45197</v>
      </c>
      <c r="E59" s="1" t="n">
        <v>46253</v>
      </c>
      <c r="F59" t="inlineStr">
        <is>
          <t>VÄSTRA GÖTALANDS LÄN</t>
        </is>
      </c>
      <c r="G59" t="inlineStr">
        <is>
          <t>HJO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46253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46042</v>
      </c>
      <c r="E61" s="1" t="n">
        <v>46253</v>
      </c>
      <c r="F61" t="inlineStr">
        <is>
          <t>VÄSTRA GÖTALANDS LÄN</t>
        </is>
      </c>
      <c r="G61" t="inlineStr">
        <is>
          <t>HJO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46253</v>
      </c>
      <c r="F62" t="inlineStr">
        <is>
          <t>VÄSTRA GÖTALANDS LÄN</t>
        </is>
      </c>
      <c r="G62" t="inlineStr">
        <is>
          <t>HJO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46253</v>
      </c>
      <c r="F63" t="inlineStr">
        <is>
          <t>VÄSTRA GÖTALANDS LÄN</t>
        </is>
      </c>
      <c r="G63" t="inlineStr">
        <is>
          <t>HJO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46056</v>
      </c>
      <c r="E64" s="1" t="n">
        <v>46253</v>
      </c>
      <c r="F64" t="inlineStr">
        <is>
          <t>VÄSTRA GÖTALANDS LÄN</t>
        </is>
      </c>
      <c r="G64" t="inlineStr">
        <is>
          <t>HJO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59452-2023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45254</v>
      </c>
      <c r="E65" s="1" t="n">
        <v>46253</v>
      </c>
      <c r="F65" t="inlineStr">
        <is>
          <t>VÄSTRA GÖTALANDS LÄN</t>
        </is>
      </c>
      <c r="G65" t="inlineStr">
        <is>
          <t>HJO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6705-2026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46056</v>
      </c>
      <c r="E66" s="1" t="n">
        <v>46253</v>
      </c>
      <c r="F66" t="inlineStr">
        <is>
          <t>VÄSTRA GÖTALANDS LÄN</t>
        </is>
      </c>
      <c r="G66" t="inlineStr">
        <is>
          <t>HJO</t>
        </is>
      </c>
      <c r="I66" t="n">
        <v>6.3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46253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46253</v>
      </c>
      <c r="F68" t="inlineStr">
        <is>
          <t>VÄSTRA GÖTALANDS LÄN</t>
        </is>
      </c>
      <c r="G68" t="inlineStr">
        <is>
          <t>HJO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45573</v>
      </c>
      <c r="E69" s="1" t="n">
        <v>46253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46253</v>
      </c>
      <c r="F70" t="inlineStr">
        <is>
          <t>VÄSTRA GÖTALANDS LÄN</t>
        </is>
      </c>
      <c r="G70" t="inlineStr">
        <is>
          <t>HJO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45643</v>
      </c>
      <c r="E71" s="1" t="n">
        <v>46253</v>
      </c>
      <c r="F71" t="inlineStr">
        <is>
          <t>VÄSTRA GÖTALANDS LÄN</t>
        </is>
      </c>
      <c r="G71" t="inlineStr">
        <is>
          <t>HJO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9473-2023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46253</v>
      </c>
      <c r="F72" t="inlineStr">
        <is>
          <t>VÄSTRA GÖTALANDS LÄN</t>
        </is>
      </c>
      <c r="G72" t="inlineStr">
        <is>
          <t>HJO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30636-2023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46253</v>
      </c>
      <c r="F73" t="inlineStr">
        <is>
          <t>VÄSTRA GÖTALANDS LÄN</t>
        </is>
      </c>
      <c r="G73" t="inlineStr">
        <is>
          <t>HJO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39542-2023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46253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46253</v>
      </c>
      <c r="F75" t="inlineStr">
        <is>
          <t>VÄSTRA GÖTALANDS LÄN</t>
        </is>
      </c>
      <c r="G75" t="inlineStr">
        <is>
          <t>HJO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45923</v>
      </c>
      <c r="E76" s="1" t="n">
        <v>46253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46253</v>
      </c>
      <c r="F77" t="inlineStr">
        <is>
          <t>VÄSTRA GÖTALANDS LÄN</t>
        </is>
      </c>
      <c r="G77" t="inlineStr">
        <is>
          <t>HJO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45142</v>
      </c>
      <c r="E78" s="1" t="n">
        <v>46253</v>
      </c>
      <c r="F78" t="inlineStr">
        <is>
          <t>VÄSTRA GÖTALANDS LÄN</t>
        </is>
      </c>
      <c r="G78" t="inlineStr">
        <is>
          <t>HJO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46253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15019-2026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46104</v>
      </c>
      <c r="E80" s="1" t="n">
        <v>46253</v>
      </c>
      <c r="F80" t="inlineStr">
        <is>
          <t>VÄSTRA GÖTALANDS LÄN</t>
        </is>
      </c>
      <c r="G80" t="inlineStr">
        <is>
          <t>HJO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46253</v>
      </c>
      <c r="F81" t="inlineStr">
        <is>
          <t>VÄSTRA GÖTALANDS LÄN</t>
        </is>
      </c>
      <c r="G81" t="inlineStr">
        <is>
          <t>HJO</t>
        </is>
      </c>
      <c r="I81" t="n">
        <v>8.800000000000001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46253</v>
      </c>
      <c r="F82" t="inlineStr">
        <is>
          <t>VÄSTRA GÖTALANDS LÄN</t>
        </is>
      </c>
      <c r="G82" t="inlineStr">
        <is>
          <t>HJO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45854</v>
      </c>
      <c r="E83" s="1" t="n">
        <v>46253</v>
      </c>
      <c r="F83" t="inlineStr">
        <is>
          <t>VÄSTRA GÖTALANDS LÄN</t>
        </is>
      </c>
      <c r="G83" t="inlineStr">
        <is>
          <t>HJO</t>
        </is>
      </c>
      <c r="H83" t="inlineStr">
        <is>
          <t>Sveaskog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46253</v>
      </c>
      <c r="F84" t="inlineStr">
        <is>
          <t>VÄSTRA GÖTALANDS LÄN</t>
        </is>
      </c>
      <c r="G84" t="inlineStr">
        <is>
          <t>HJO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29596-2024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45484</v>
      </c>
      <c r="E85" s="1" t="n">
        <v>46253</v>
      </c>
      <c r="F85" t="inlineStr">
        <is>
          <t>VÄSTRA GÖTALANDS LÄN</t>
        </is>
      </c>
      <c r="G85" t="inlineStr">
        <is>
          <t>HJO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46253</v>
      </c>
      <c r="F86" t="inlineStr">
        <is>
          <t>VÄSTRA GÖTALANDS LÄN</t>
        </is>
      </c>
      <c r="G86" t="inlineStr">
        <is>
          <t>HJO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45735</v>
      </c>
      <c r="E87" s="1" t="n">
        <v>46253</v>
      </c>
      <c r="F87" t="inlineStr">
        <is>
          <t>VÄSTRA GÖTALANDS LÄN</t>
        </is>
      </c>
      <c r="G87" t="inlineStr">
        <is>
          <t>HJO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46253</v>
      </c>
      <c r="F88" t="inlineStr">
        <is>
          <t>VÄSTRA GÖTALANDS LÄN</t>
        </is>
      </c>
      <c r="G88" t="inlineStr">
        <is>
          <t>HJO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46253</v>
      </c>
      <c r="F89" t="inlineStr">
        <is>
          <t>VÄSTRA GÖTALANDS LÄN</t>
        </is>
      </c>
      <c r="G89" t="inlineStr">
        <is>
          <t>HJO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46253</v>
      </c>
      <c r="F90" t="inlineStr">
        <is>
          <t>VÄSTRA GÖTALANDS LÄN</t>
        </is>
      </c>
      <c r="G90" t="inlineStr">
        <is>
          <t>HJO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39537-2023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46253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46253</v>
      </c>
      <c r="F92" t="inlineStr">
        <is>
          <t>VÄSTRA GÖTALANDS LÄN</t>
        </is>
      </c>
      <c r="G92" t="inlineStr">
        <is>
          <t>HJO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30970-2023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46253</v>
      </c>
      <c r="F93" t="inlineStr">
        <is>
          <t>VÄSTRA GÖTALANDS LÄN</t>
        </is>
      </c>
      <c r="G93" t="inlineStr">
        <is>
          <t>HJO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46253</v>
      </c>
      <c r="F94" t="inlineStr">
        <is>
          <t>VÄSTRA GÖTALANDS LÄN</t>
        </is>
      </c>
      <c r="G94" t="inlineStr">
        <is>
          <t>HJO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46253</v>
      </c>
      <c r="F95" t="inlineStr">
        <is>
          <t>VÄSTRA GÖTALANDS LÄN</t>
        </is>
      </c>
      <c r="G95" t="inlineStr">
        <is>
          <t>HJO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46253</v>
      </c>
      <c r="F96" t="inlineStr">
        <is>
          <t>VÄSTRA GÖTALANDS LÄN</t>
        </is>
      </c>
      <c r="G96" t="inlineStr">
        <is>
          <t>HJO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46253</v>
      </c>
      <c r="F97" t="inlineStr">
        <is>
          <t>VÄSTRA GÖTALANDS LÄN</t>
        </is>
      </c>
      <c r="G97" t="inlineStr">
        <is>
          <t>HJO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46253</v>
      </c>
      <c r="F98" t="inlineStr">
        <is>
          <t>VÄSTRA GÖTALANDS LÄN</t>
        </is>
      </c>
      <c r="G98" t="inlineStr">
        <is>
          <t>HJO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60071-2025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45993</v>
      </c>
      <c r="E99" s="1" t="n">
        <v>46253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46253</v>
      </c>
      <c r="F100" t="inlineStr">
        <is>
          <t>VÄSTRA GÖTALANDS LÄN</t>
        </is>
      </c>
      <c r="G100" t="inlineStr">
        <is>
          <t>HJO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46253</v>
      </c>
      <c r="F101" t="inlineStr">
        <is>
          <t>VÄSTRA GÖTALANDS LÄN</t>
        </is>
      </c>
      <c r="G101" t="inlineStr">
        <is>
          <t>HJO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46253</v>
      </c>
      <c r="F102" t="inlineStr">
        <is>
          <t>VÄSTRA GÖTALANDS LÄN</t>
        </is>
      </c>
      <c r="G102" t="inlineStr">
        <is>
          <t>HJO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46019</v>
      </c>
      <c r="E103" s="1" t="n">
        <v>46253</v>
      </c>
      <c r="F103" t="inlineStr">
        <is>
          <t>VÄSTRA GÖTALANDS LÄN</t>
        </is>
      </c>
      <c r="G103" t="inlineStr">
        <is>
          <t>HJO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46253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45349</v>
      </c>
      <c r="E105" s="1" t="n">
        <v>46253</v>
      </c>
      <c r="F105" t="inlineStr">
        <is>
          <t>VÄSTRA GÖTALANDS LÄN</t>
        </is>
      </c>
      <c r="G105" t="inlineStr">
        <is>
          <t>HJO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46253</v>
      </c>
      <c r="F106" t="inlineStr">
        <is>
          <t>VÄSTRA GÖTALANDS LÄN</t>
        </is>
      </c>
      <c r="G106" t="inlineStr">
        <is>
          <t>HJO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23193-2026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46253</v>
      </c>
      <c r="F107" t="inlineStr">
        <is>
          <t>VÄSTRA GÖTALANDS LÄN</t>
        </is>
      </c>
      <c r="G107" t="inlineStr">
        <is>
          <t>HJO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46253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46253</v>
      </c>
      <c r="F109" t="inlineStr">
        <is>
          <t>VÄSTRA GÖTALANDS LÄN</t>
        </is>
      </c>
      <c r="G109" t="inlineStr">
        <is>
          <t>HJO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46253</v>
      </c>
      <c r="F110" t="inlineStr">
        <is>
          <t>VÄSTRA GÖTALANDS LÄN</t>
        </is>
      </c>
      <c r="G110" t="inlineStr">
        <is>
          <t>HJO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46253</v>
      </c>
      <c r="F111" t="inlineStr">
        <is>
          <t>VÄSTRA GÖTALANDS LÄN</t>
        </is>
      </c>
      <c r="G111" t="inlineStr">
        <is>
          <t>HJO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46253</v>
      </c>
      <c r="F112" t="inlineStr">
        <is>
          <t>VÄSTRA GÖTALANDS LÄN</t>
        </is>
      </c>
      <c r="G112" t="inlineStr">
        <is>
          <t>HJO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46253</v>
      </c>
      <c r="F113" t="inlineStr">
        <is>
          <t>VÄSTRA GÖTALANDS LÄN</t>
        </is>
      </c>
      <c r="G113" t="inlineStr">
        <is>
          <t>HJO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46253</v>
      </c>
      <c r="F114" t="inlineStr">
        <is>
          <t>VÄSTRA GÖTALANDS LÄN</t>
        </is>
      </c>
      <c r="G114" t="inlineStr">
        <is>
          <t>HJO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46253</v>
      </c>
      <c r="F115" t="inlineStr">
        <is>
          <t>VÄSTRA GÖTALANDS LÄN</t>
        </is>
      </c>
      <c r="G115" t="inlineStr">
        <is>
          <t>HJO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46253</v>
      </c>
      <c r="F116" t="inlineStr">
        <is>
          <t>VÄSTRA GÖTALANDS LÄN</t>
        </is>
      </c>
      <c r="G116" t="inlineStr">
        <is>
          <t>HJO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45237</v>
      </c>
      <c r="E117" s="1" t="n">
        <v>46253</v>
      </c>
      <c r="F117" t="inlineStr">
        <is>
          <t>VÄSTRA GÖTALANDS LÄN</t>
        </is>
      </c>
      <c r="G117" t="inlineStr">
        <is>
          <t>HJO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58597-2022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46253</v>
      </c>
      <c r="F118" t="inlineStr">
        <is>
          <t>VÄSTRA GÖTALANDS LÄN</t>
        </is>
      </c>
      <c r="G118" t="inlineStr">
        <is>
          <t>HJO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46253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44697</v>
      </c>
      <c r="E120" s="1" t="n">
        <v>46253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46253</v>
      </c>
      <c r="F121" t="inlineStr">
        <is>
          <t>VÄSTRA GÖTALANDS LÄN</t>
        </is>
      </c>
      <c r="G121" t="inlineStr">
        <is>
          <t>HJO</t>
        </is>
      </c>
      <c r="H121" t="inlineStr">
        <is>
          <t>Övriga Aktiebolag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46253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46253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46253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46253</v>
      </c>
      <c r="F125" t="inlineStr">
        <is>
          <t>VÄSTRA GÖTALANDS LÄN</t>
        </is>
      </c>
      <c r="G125" t="inlineStr">
        <is>
          <t>HJO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46205</v>
      </c>
      <c r="E126" s="1" t="n">
        <v>46253</v>
      </c>
      <c r="F126" t="inlineStr">
        <is>
          <t>VÄSTRA GÖTALANDS LÄN</t>
        </is>
      </c>
      <c r="G126" t="inlineStr">
        <is>
          <t>HJO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46253</v>
      </c>
      <c r="F127" t="inlineStr">
        <is>
          <t>VÄSTRA GÖTALANDS LÄN</t>
        </is>
      </c>
      <c r="G127" t="inlineStr">
        <is>
          <t>HJO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46253</v>
      </c>
      <c r="F128" t="inlineStr">
        <is>
          <t>VÄSTRA GÖTALANDS LÄN</t>
        </is>
      </c>
      <c r="G128" t="inlineStr">
        <is>
          <t>HJO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44745</v>
      </c>
      <c r="E129" s="1" t="n">
        <v>46253</v>
      </c>
      <c r="F129" t="inlineStr">
        <is>
          <t>VÄSTRA GÖTALANDS LÄN</t>
        </is>
      </c>
      <c r="G129" t="inlineStr">
        <is>
          <t>HJO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63239-2021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46253</v>
      </c>
      <c r="F130" t="inlineStr">
        <is>
          <t>VÄSTRA GÖTALANDS LÄN</t>
        </is>
      </c>
      <c r="G130" t="inlineStr">
        <is>
          <t>HJO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44951</v>
      </c>
      <c r="E131" s="1" t="n">
        <v>46253</v>
      </c>
      <c r="F131" t="inlineStr">
        <is>
          <t>VÄSTRA GÖTALANDS LÄN</t>
        </is>
      </c>
      <c r="G131" t="inlineStr">
        <is>
          <t>HJO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46252</v>
      </c>
      <c r="E132" s="1" t="n">
        <v>46253</v>
      </c>
      <c r="F132" t="inlineStr">
        <is>
          <t>VÄSTRA GÖTALANDS LÄN</t>
        </is>
      </c>
      <c r="G132" t="inlineStr">
        <is>
          <t>HJO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44963</v>
      </c>
      <c r="E133" s="1" t="n">
        <v>46253</v>
      </c>
      <c r="F133" t="inlineStr">
        <is>
          <t>VÄSTRA GÖTALANDS LÄN</t>
        </is>
      </c>
      <c r="G133" t="inlineStr">
        <is>
          <t>HJO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45010</v>
      </c>
      <c r="E134" s="1" t="n">
        <v>46253</v>
      </c>
      <c r="F134" t="inlineStr">
        <is>
          <t>VÄSTRA GÖTALANDS LÄN</t>
        </is>
      </c>
      <c r="G134" t="inlineStr">
        <is>
          <t>HJO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46253</v>
      </c>
      <c r="F135" t="inlineStr">
        <is>
          <t>VÄSTRA GÖTALANDS LÄN</t>
        </is>
      </c>
      <c r="G135" t="inlineStr">
        <is>
          <t>HJO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70743-2021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46253</v>
      </c>
      <c r="F136" t="inlineStr">
        <is>
          <t>VÄSTRA GÖTALANDS LÄN</t>
        </is>
      </c>
      <c r="G136" t="inlineStr">
        <is>
          <t>HJO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46253</v>
      </c>
      <c r="F137" t="inlineStr">
        <is>
          <t>VÄSTRA GÖTALANDS LÄN</t>
        </is>
      </c>
      <c r="G137" t="inlineStr">
        <is>
          <t>HJO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46253</v>
      </c>
      <c r="F138" t="inlineStr">
        <is>
          <t>VÄSTRA GÖTALANDS LÄN</t>
        </is>
      </c>
      <c r="G138" t="inlineStr">
        <is>
          <t>HJO</t>
        </is>
      </c>
      <c r="H138" t="inlineStr">
        <is>
          <t>Kyrkan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45009</v>
      </c>
      <c r="E139" s="1" t="n">
        <v>46253</v>
      </c>
      <c r="F139" t="inlineStr">
        <is>
          <t>VÄSTRA GÖTALANDS LÄN</t>
        </is>
      </c>
      <c r="G139" t="inlineStr">
        <is>
          <t>HJO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45167</v>
      </c>
      <c r="E140" s="1" t="n">
        <v>46253</v>
      </c>
      <c r="F140" t="inlineStr">
        <is>
          <t>VÄSTRA GÖTALANDS LÄN</t>
        </is>
      </c>
      <c r="G140" t="inlineStr">
        <is>
          <t>HJO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46253</v>
      </c>
      <c r="F141" t="inlineStr">
        <is>
          <t>VÄSTRA GÖTALANDS LÄN</t>
        </is>
      </c>
      <c r="G141" t="inlineStr">
        <is>
          <t>HJO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46253</v>
      </c>
      <c r="F142" t="inlineStr">
        <is>
          <t>VÄSTRA GÖTALANDS LÄN</t>
        </is>
      </c>
      <c r="G142" t="inlineStr">
        <is>
          <t>HJO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46253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46253</v>
      </c>
      <c r="F144" t="inlineStr">
        <is>
          <t>VÄSTRA GÖTALANDS LÄN</t>
        </is>
      </c>
      <c r="G144" t="inlineStr">
        <is>
          <t>HJO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44980</v>
      </c>
      <c r="E145" s="1" t="n">
        <v>46253</v>
      </c>
      <c r="F145" t="inlineStr">
        <is>
          <t>VÄSTRA GÖTALANDS LÄN</t>
        </is>
      </c>
      <c r="G145" t="inlineStr">
        <is>
          <t>HJO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46253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46253</v>
      </c>
      <c r="F147" t="inlineStr">
        <is>
          <t>VÄSTRA GÖTALANDS LÄN</t>
        </is>
      </c>
      <c r="G147" t="inlineStr">
        <is>
          <t>HJO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45485</v>
      </c>
      <c r="E148" s="1" t="n">
        <v>46253</v>
      </c>
      <c r="F148" t="inlineStr">
        <is>
          <t>VÄSTRA GÖTALANDS LÄN</t>
        </is>
      </c>
      <c r="G148" t="inlineStr">
        <is>
          <t>HJO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46253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46253</v>
      </c>
      <c r="F150" t="inlineStr">
        <is>
          <t>VÄSTRA GÖTALANDS LÄN</t>
        </is>
      </c>
      <c r="G150" t="inlineStr">
        <is>
          <t>HJO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46253</v>
      </c>
      <c r="F151" t="inlineStr">
        <is>
          <t>VÄSTRA GÖTALANDS LÄN</t>
        </is>
      </c>
      <c r="G151" t="inlineStr">
        <is>
          <t>HJO</t>
        </is>
      </c>
      <c r="H151" t="inlineStr">
        <is>
          <t>Kyrkan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46253</v>
      </c>
      <c r="F152" t="inlineStr">
        <is>
          <t>VÄSTRA GÖTALANDS LÄN</t>
        </is>
      </c>
      <c r="G152" t="inlineStr">
        <is>
          <t>HJO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45771</v>
      </c>
      <c r="E153" s="1" t="n">
        <v>46253</v>
      </c>
      <c r="F153" t="inlineStr">
        <is>
          <t>VÄSTRA GÖTALANDS LÄN</t>
        </is>
      </c>
      <c r="G153" t="inlineStr">
        <is>
          <t>HJO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8145-2024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45351</v>
      </c>
      <c r="E154" s="1" t="n">
        <v>46253</v>
      </c>
      <c r="F154" t="inlineStr">
        <is>
          <t>VÄSTRA GÖTALANDS LÄN</t>
        </is>
      </c>
      <c r="G154" t="inlineStr">
        <is>
          <t>HJO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46253</v>
      </c>
      <c r="F155" t="inlineStr">
        <is>
          <t>VÄSTRA GÖTALANDS LÄN</t>
        </is>
      </c>
      <c r="G155" t="inlineStr">
        <is>
          <t>HJO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46253</v>
      </c>
      <c r="F156" t="inlineStr">
        <is>
          <t>VÄSTRA GÖTALANDS LÄN</t>
        </is>
      </c>
      <c r="G156" t="inlineStr">
        <is>
          <t>HJO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967-2022</t>
        </is>
      </c>
      <c r="B157" t="inlineStr">
        <is>
          <t>samrådsanmälan</t>
        </is>
      </c>
      <c r="C157" t="inlineStr">
        <is>
          <t>Askåterföring</t>
        </is>
      </c>
      <c r="D157" s="1" t="n">
        <v>44607</v>
      </c>
      <c r="E157" s="1" t="n">
        <v>46253</v>
      </c>
      <c r="F157" t="inlineStr">
        <is>
          <t>VÄSTRA GÖTALANDS LÄN</t>
        </is>
      </c>
      <c r="G157" t="inlineStr">
        <is>
          <t>HJO</t>
        </is>
      </c>
      <c r="H157" t="inlineStr">
        <is>
          <t>Sveaskog</t>
        </is>
      </c>
      <c r="I157" t="n">
        <v>151.6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3584-2022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44735</v>
      </c>
      <c r="E158" s="1" t="n">
        <v>46253</v>
      </c>
      <c r="F158" t="inlineStr">
        <is>
          <t>VÄSTRA GÖTALANDS LÄN</t>
        </is>
      </c>
      <c r="G158" t="inlineStr">
        <is>
          <t>HJO</t>
        </is>
      </c>
      <c r="I158" t="n">
        <v>28.7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2026-08-19T01:48:46Z</dcterms:created>
  <dcterms:modified xmlns:dcterms="http://purl.org/dc/terms/" xmlns:xsi="http://www.w3.org/2001/XMLSchema-instance" xsi:type="dcterms:W3CDTF">2026-08-19T01:48:47Z</dcterms:modified>
</cp:coreProperties>
</file>