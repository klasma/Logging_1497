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46219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46219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46219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46219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s="2" t="inlineStr">
        <is>
          <t>Knärot</t>
        </is>
      </c>
      <c r="V5">
        <f>HYPERLINK("https://klasma.github.io/Logging_1497/artfynd/A 10014-2025 artfynd.xlsx", "A 10014-2025")</f>
        <v/>
      </c>
      <c r="W5">
        <f>HYPERLINK("https://klasma.github.io/Logging_1497/kartor/A 10014-2025 karta.png", "A 10014-2025")</f>
        <v/>
      </c>
      <c r="X5">
        <f>HYPERLINK("https://klasma.github.io/Logging_1497/knärot/A 10014-2025 karta knärot.png", "A 10014-2025")</f>
        <v/>
      </c>
      <c r="Y5">
        <f>HYPERLINK("https://klasma.github.io/Logging_1497/klagomål/A 10014-2025 FSC-klagomål.docx", "A 10014-2025")</f>
        <v/>
      </c>
      <c r="Z5">
        <f>HYPERLINK("https://klasma.github.io/Logging_1497/klagomålsmail/A 10014-2025 FSC-klagomål mail.docx", "A 10014-2025")</f>
        <v/>
      </c>
      <c r="AA5">
        <f>HYPERLINK("https://klasma.github.io/Logging_1497/tillsyn/A 10014-2025 tillsynsbegäran.docx", "A 10014-2025")</f>
        <v/>
      </c>
      <c r="AB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46219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Ask</t>
        </is>
      </c>
      <c r="V6">
        <f>HYPERLINK("https://klasma.github.io/Logging_1497/artfynd/A 26270-2024 artfynd.xlsx", "A 26270-2024")</f>
        <v/>
      </c>
      <c r="W6">
        <f>HYPERLINK("https://klasma.github.io/Logging_1497/kartor/A 26270-2024 karta.png", "A 26270-2024")</f>
        <v/>
      </c>
      <c r="Y6">
        <f>HYPERLINK("https://klasma.github.io/Logging_1497/klagomål/A 26270-2024 FSC-klagomål.docx", "A 26270-2024")</f>
        <v/>
      </c>
      <c r="Z6">
        <f>HYPERLINK("https://klasma.github.io/Logging_1497/klagomålsmail/A 26270-2024 FSC-klagomål mail.docx", "A 26270-2024")</f>
        <v/>
      </c>
      <c r="AA6">
        <f>HYPERLINK("https://klasma.github.io/Logging_1497/tillsyn/A 26270-2024 tillsynsbegäran.docx", "A 26270-2024")</f>
        <v/>
      </c>
      <c r="AB6">
        <f>HYPERLINK("https://klasma.github.io/Logging_1497/tillsynsmail/A 26270-2024 tillsynsbegäran mail.docx", "A 26270-2024")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46219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46219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46219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46219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46219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50559-2022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46219</v>
      </c>
      <c r="F12" t="inlineStr">
        <is>
          <t>VÄSTRA GÖTALANDS LÄN</t>
        </is>
      </c>
      <c r="G12" t="inlineStr">
        <is>
          <t>HJO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19341-2022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44692</v>
      </c>
      <c r="E13" s="1" t="n">
        <v>46219</v>
      </c>
      <c r="F13" t="inlineStr">
        <is>
          <t>VÄSTRA GÖTALANDS LÄN</t>
        </is>
      </c>
      <c r="G13" t="inlineStr">
        <is>
          <t>HJO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46219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46219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46219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46219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46219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46219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46219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46219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46219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46219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46219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46219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46219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46219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35486-2023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46219</v>
      </c>
      <c r="F28" t="inlineStr">
        <is>
          <t>VÄSTRA GÖTALANDS LÄN</t>
        </is>
      </c>
      <c r="G28" t="inlineStr">
        <is>
          <t>HJO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46219</v>
      </c>
      <c r="F29" t="inlineStr">
        <is>
          <t>VÄSTRA GÖTALANDS LÄN</t>
        </is>
      </c>
      <c r="G29" t="inlineStr">
        <is>
          <t>HJO</t>
        </is>
      </c>
      <c r="I29" t="n">
        <v>5.2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56175-2021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44477</v>
      </c>
      <c r="E30" s="1" t="n">
        <v>46219</v>
      </c>
      <c r="F30" t="inlineStr">
        <is>
          <t>VÄSTRA GÖTALANDS LÄN</t>
        </is>
      </c>
      <c r="G30" t="inlineStr">
        <is>
          <t>HJO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26230-2023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45091</v>
      </c>
      <c r="E31" s="1" t="n">
        <v>46219</v>
      </c>
      <c r="F31" t="inlineStr">
        <is>
          <t>VÄSTRA GÖTALANDS LÄN</t>
        </is>
      </c>
      <c r="G31" t="inlineStr">
        <is>
          <t>HJO</t>
        </is>
      </c>
      <c r="H31" t="inlineStr">
        <is>
          <t>Övriga Aktiebolag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12544-2022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46219</v>
      </c>
      <c r="F32" t="inlineStr">
        <is>
          <t>VÄSTRA GÖTALANDS LÄN</t>
        </is>
      </c>
      <c r="G32" t="inlineStr">
        <is>
          <t>HJO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46219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9184-2022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44615</v>
      </c>
      <c r="E34" s="1" t="n">
        <v>46219</v>
      </c>
      <c r="F34" t="inlineStr">
        <is>
          <t>VÄSTRA GÖTALANDS LÄN</t>
        </is>
      </c>
      <c r="G34" t="inlineStr">
        <is>
          <t>HJO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46219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22050-2023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46219</v>
      </c>
      <c r="F36" t="inlineStr">
        <is>
          <t>VÄSTRA GÖTALANDS LÄN</t>
        </is>
      </c>
      <c r="G36" t="inlineStr">
        <is>
          <t>HJO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46219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46219</v>
      </c>
      <c r="F38" t="inlineStr">
        <is>
          <t>VÄSTRA GÖTALANDS LÄN</t>
        </is>
      </c>
      <c r="G38" t="inlineStr">
        <is>
          <t>HJO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44606</v>
      </c>
      <c r="E39" s="1" t="n">
        <v>46219</v>
      </c>
      <c r="F39" t="inlineStr">
        <is>
          <t>VÄSTRA GÖTALANDS LÄN</t>
        </is>
      </c>
      <c r="G39" t="inlineStr">
        <is>
          <t>HJO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46219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44965-2021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46219</v>
      </c>
      <c r="F41" t="inlineStr">
        <is>
          <t>VÄSTRA GÖTALANDS LÄN</t>
        </is>
      </c>
      <c r="G41" t="inlineStr">
        <is>
          <t>HJO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32219-2022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46219</v>
      </c>
      <c r="F42" t="inlineStr">
        <is>
          <t>VÄSTRA GÖTALANDS LÄN</t>
        </is>
      </c>
      <c r="G42" t="inlineStr">
        <is>
          <t>HJO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46219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22586-2022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44714</v>
      </c>
      <c r="E44" s="1" t="n">
        <v>46219</v>
      </c>
      <c r="F44" t="inlineStr">
        <is>
          <t>VÄSTRA GÖTALANDS LÄN</t>
        </is>
      </c>
      <c r="G44" t="inlineStr">
        <is>
          <t>HJO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45300</v>
      </c>
      <c r="E45" s="1" t="n">
        <v>46219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46219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46219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46219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32518-2022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46219</v>
      </c>
      <c r="F49" t="inlineStr">
        <is>
          <t>VÄSTRA GÖTALANDS LÄN</t>
        </is>
      </c>
      <c r="G49" t="inlineStr">
        <is>
          <t>HJO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50152-2023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46219</v>
      </c>
      <c r="F50" t="inlineStr">
        <is>
          <t>VÄSTRA GÖTALANDS LÄN</t>
        </is>
      </c>
      <c r="G50" t="inlineStr">
        <is>
          <t>HJO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49025-2023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46219</v>
      </c>
      <c r="F51" t="inlineStr">
        <is>
          <t>VÄSTRA GÖTALANDS LÄN</t>
        </is>
      </c>
      <c r="G51" t="inlineStr">
        <is>
          <t>HJO</t>
        </is>
      </c>
      <c r="I51" t="n">
        <v>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60318-2024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46219</v>
      </c>
      <c r="F52" t="inlineStr">
        <is>
          <t>VÄSTRA GÖTALANDS LÄN</t>
        </is>
      </c>
      <c r="G52" t="inlineStr">
        <is>
          <t>HJO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26248-2024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46219</v>
      </c>
      <c r="F53" t="inlineStr">
        <is>
          <t>VÄSTRA GÖTALANDS LÄN</t>
        </is>
      </c>
      <c r="G53" t="inlineStr">
        <is>
          <t>HJO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9473-2023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46219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30636-2023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46219</v>
      </c>
      <c r="F55" t="inlineStr">
        <is>
          <t>VÄSTRA GÖTALANDS LÄN</t>
        </is>
      </c>
      <c r="G55" t="inlineStr">
        <is>
          <t>HJO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39542-2023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46219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50711-2024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46219</v>
      </c>
      <c r="F57" t="inlineStr">
        <is>
          <t>VÄSTRA GÖTALANDS LÄN</t>
        </is>
      </c>
      <c r="G57" t="inlineStr">
        <is>
          <t>HJO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46219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34859-2023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46219</v>
      </c>
      <c r="F59" t="inlineStr">
        <is>
          <t>VÄSTRA GÖTALANDS LÄN</t>
        </is>
      </c>
      <c r="G59" t="inlineStr">
        <is>
          <t>HJO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49564-2024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46219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47300-2022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46219</v>
      </c>
      <c r="F61" t="inlineStr">
        <is>
          <t>VÄSTRA GÖTALANDS LÄN</t>
        </is>
      </c>
      <c r="G61" t="inlineStr">
        <is>
          <t>HJO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46787-2023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46219</v>
      </c>
      <c r="F62" t="inlineStr">
        <is>
          <t>VÄSTRA GÖTALANDS LÄN</t>
        </is>
      </c>
      <c r="G62" t="inlineStr">
        <is>
          <t>HJO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2070-2023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44939</v>
      </c>
      <c r="E63" s="1" t="n">
        <v>46219</v>
      </c>
      <c r="F63" t="inlineStr">
        <is>
          <t>VÄSTRA GÖTALANDS LÄN</t>
        </is>
      </c>
      <c r="G63" t="inlineStr">
        <is>
          <t>HJO</t>
        </is>
      </c>
      <c r="I63" t="n">
        <v>11.6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44945</v>
      </c>
      <c r="E64" s="1" t="n">
        <v>46219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9338-2023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46219</v>
      </c>
      <c r="F65" t="inlineStr">
        <is>
          <t>VÄSTRA GÖTALANDS LÄN</t>
        </is>
      </c>
      <c r="G65" t="inlineStr">
        <is>
          <t>HJO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29596-2024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45484</v>
      </c>
      <c r="E66" s="1" t="n">
        <v>46219</v>
      </c>
      <c r="F66" t="inlineStr">
        <is>
          <t>VÄSTRA GÖTALANDS LÄN</t>
        </is>
      </c>
      <c r="G66" t="inlineStr">
        <is>
          <t>HJO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46219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46219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62233-2022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44922</v>
      </c>
      <c r="E69" s="1" t="n">
        <v>46219</v>
      </c>
      <c r="F69" t="inlineStr">
        <is>
          <t>VÄSTRA GÖTALANDS LÄN</t>
        </is>
      </c>
      <c r="G69" t="inlineStr">
        <is>
          <t>HJO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46219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46219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13694-2024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46219</v>
      </c>
      <c r="F72" t="inlineStr">
        <is>
          <t>VÄSTRA GÖTALANDS LÄN</t>
        </is>
      </c>
      <c r="G72" t="inlineStr">
        <is>
          <t>HJO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46219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45197</v>
      </c>
      <c r="E74" s="1" t="n">
        <v>46219</v>
      </c>
      <c r="F74" t="inlineStr">
        <is>
          <t>VÄSTRA GÖTALANDS LÄN</t>
        </is>
      </c>
      <c r="G74" t="inlineStr">
        <is>
          <t>HJO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46219</v>
      </c>
      <c r="F75" t="inlineStr">
        <is>
          <t>VÄSTRA GÖTALANDS LÄN</t>
        </is>
      </c>
      <c r="G75" t="inlineStr">
        <is>
          <t>HJO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46219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46219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46219</v>
      </c>
      <c r="F78" t="inlineStr">
        <is>
          <t>VÄSTRA GÖTALANDS LÄN</t>
        </is>
      </c>
      <c r="G78" t="inlineStr">
        <is>
          <t>HJO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39537-2023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46219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39540-2023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46219</v>
      </c>
      <c r="F80" t="inlineStr">
        <is>
          <t>VÄSTRA GÖTALANDS LÄN</t>
        </is>
      </c>
      <c r="G80" t="inlineStr">
        <is>
          <t>HJO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46219</v>
      </c>
      <c r="F81" t="inlineStr">
        <is>
          <t>VÄSTRA GÖTALANDS LÄN</t>
        </is>
      </c>
      <c r="G81" t="inlineStr">
        <is>
          <t>HJO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46219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53689-2025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45960</v>
      </c>
      <c r="E83" s="1" t="n">
        <v>46219</v>
      </c>
      <c r="F83" t="inlineStr">
        <is>
          <t>VÄSTRA GÖTALANDS LÄN</t>
        </is>
      </c>
      <c r="G83" t="inlineStr">
        <is>
          <t>HJO</t>
        </is>
      </c>
      <c r="I83" t="n">
        <v>10.9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10670-2024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46219</v>
      </c>
      <c r="F84" t="inlineStr">
        <is>
          <t>VÄSTRA GÖTALANDS LÄN</t>
        </is>
      </c>
      <c r="G84" t="inlineStr">
        <is>
          <t>HJO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23193-2026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46219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29891-2026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46219</v>
      </c>
      <c r="F86" t="inlineStr">
        <is>
          <t>VÄSTRA GÖTALANDS LÄN</t>
        </is>
      </c>
      <c r="G86" t="inlineStr">
        <is>
          <t>HJO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29953-2026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46205</v>
      </c>
      <c r="E87" s="1" t="n">
        <v>46219</v>
      </c>
      <c r="F87" t="inlineStr">
        <is>
          <t>VÄSTRA GÖTALANDS LÄN</t>
        </is>
      </c>
      <c r="G87" t="inlineStr">
        <is>
          <t>HJO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46219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50932-2025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46219</v>
      </c>
      <c r="F89" t="inlineStr">
        <is>
          <t>VÄSTRA GÖTALANDS LÄN</t>
        </is>
      </c>
      <c r="G89" t="inlineStr">
        <is>
          <t>HJO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38186-2023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46219</v>
      </c>
      <c r="F90" t="inlineStr">
        <is>
          <t>VÄSTRA GÖTALANDS LÄN</t>
        </is>
      </c>
      <c r="G90" t="inlineStr">
        <is>
          <t>HJO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46219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29905-2026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46219</v>
      </c>
      <c r="F92" t="inlineStr">
        <is>
          <t>VÄSTRA GÖTALANDS LÄN</t>
        </is>
      </c>
      <c r="G92" t="inlineStr">
        <is>
          <t>HJO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46219</v>
      </c>
      <c r="F93" t="inlineStr">
        <is>
          <t>VÄSTRA GÖTALANDS LÄN</t>
        </is>
      </c>
      <c r="G93" t="inlineStr">
        <is>
          <t>HJO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46219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46219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44560</v>
      </c>
      <c r="E96" s="1" t="n">
        <v>46219</v>
      </c>
      <c r="F96" t="inlineStr">
        <is>
          <t>VÄSTRA GÖTALANDS LÄN</t>
        </is>
      </c>
      <c r="G96" t="inlineStr">
        <is>
          <t>HJO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45557</v>
      </c>
      <c r="E97" s="1" t="n">
        <v>46219</v>
      </c>
      <c r="F97" t="inlineStr">
        <is>
          <t>VÄSTRA GÖTALANDS LÄN</t>
        </is>
      </c>
      <c r="G97" t="inlineStr">
        <is>
          <t>HJO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46219</v>
      </c>
      <c r="F98" t="inlineStr">
        <is>
          <t>VÄSTRA GÖTALANDS LÄN</t>
        </is>
      </c>
      <c r="G98" t="inlineStr">
        <is>
          <t>HJO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45349</v>
      </c>
      <c r="E99" s="1" t="n">
        <v>46219</v>
      </c>
      <c r="F99" t="inlineStr">
        <is>
          <t>VÄSTRA GÖTALANDS LÄN</t>
        </is>
      </c>
      <c r="G99" t="inlineStr">
        <is>
          <t>HJO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63802-2025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46019</v>
      </c>
      <c r="E100" s="1" t="n">
        <v>46219</v>
      </c>
      <c r="F100" t="inlineStr">
        <is>
          <t>VÄSTRA GÖTALANDS LÄN</t>
        </is>
      </c>
      <c r="G100" t="inlineStr">
        <is>
          <t>HJO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46219</v>
      </c>
      <c r="F101" t="inlineStr">
        <is>
          <t>VÄSTRA GÖTALANDS LÄN</t>
        </is>
      </c>
      <c r="G101" t="inlineStr">
        <is>
          <t>HJO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39907-2024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46219</v>
      </c>
      <c r="F102" t="inlineStr">
        <is>
          <t>VÄSTRA GÖTALANDS LÄN</t>
        </is>
      </c>
      <c r="G102" t="inlineStr">
        <is>
          <t>HJO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45470</v>
      </c>
      <c r="E103" s="1" t="n">
        <v>46219</v>
      </c>
      <c r="F103" t="inlineStr">
        <is>
          <t>VÄSTRA GÖTALANDS LÄN</t>
        </is>
      </c>
      <c r="G103" t="inlineStr">
        <is>
          <t>HJO</t>
        </is>
      </c>
      <c r="H103" t="inlineStr">
        <is>
          <t>Kyrkan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54902-2023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46219</v>
      </c>
      <c r="F104" t="inlineStr">
        <is>
          <t>VÄSTRA GÖTALANDS LÄN</t>
        </is>
      </c>
      <c r="G104" t="inlineStr">
        <is>
          <t>HJO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46219</v>
      </c>
      <c r="F105" t="inlineStr">
        <is>
          <t>VÄSTRA GÖTALANDS LÄN</t>
        </is>
      </c>
      <c r="G105" t="inlineStr">
        <is>
          <t>HJO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36738-2024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46219</v>
      </c>
      <c r="F106" t="inlineStr">
        <is>
          <t>VÄSTRA GÖTALANDS LÄN</t>
        </is>
      </c>
      <c r="G106" t="inlineStr">
        <is>
          <t>HJO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46219</v>
      </c>
      <c r="F107" t="inlineStr">
        <is>
          <t>VÄSTRA GÖTALANDS LÄN</t>
        </is>
      </c>
      <c r="G107" t="inlineStr">
        <is>
          <t>HJO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19810-2025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46219</v>
      </c>
      <c r="F108" t="inlineStr">
        <is>
          <t>VÄSTRA GÖTALANDS LÄN</t>
        </is>
      </c>
      <c r="G108" t="inlineStr">
        <is>
          <t>HJO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46219</v>
      </c>
      <c r="F109" t="inlineStr">
        <is>
          <t>VÄSTRA GÖTALANDS LÄN</t>
        </is>
      </c>
      <c r="G109" t="inlineStr">
        <is>
          <t>HJO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6705-2026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46056</v>
      </c>
      <c r="E110" s="1" t="n">
        <v>46219</v>
      </c>
      <c r="F110" t="inlineStr">
        <is>
          <t>VÄSTRA GÖTALANDS LÄN</t>
        </is>
      </c>
      <c r="G110" t="inlineStr">
        <is>
          <t>HJO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46219</v>
      </c>
      <c r="F111" t="inlineStr">
        <is>
          <t>VÄSTRA GÖTALANDS LÄN</t>
        </is>
      </c>
      <c r="G111" t="inlineStr">
        <is>
          <t>HJO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46219</v>
      </c>
      <c r="F112" t="inlineStr">
        <is>
          <t>VÄSTRA GÖTALANDS LÄN</t>
        </is>
      </c>
      <c r="G112" t="inlineStr">
        <is>
          <t>HJO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46219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46219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46219</v>
      </c>
      <c r="F115" t="inlineStr">
        <is>
          <t>VÄSTRA GÖTALANDS LÄN</t>
        </is>
      </c>
      <c r="G115" t="inlineStr">
        <is>
          <t>HJO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8145-2024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45351</v>
      </c>
      <c r="E116" s="1" t="n">
        <v>46219</v>
      </c>
      <c r="F116" t="inlineStr">
        <is>
          <t>VÄSTRA GÖTALANDS LÄN</t>
        </is>
      </c>
      <c r="G116" t="inlineStr">
        <is>
          <t>HJO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60414-2024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46219</v>
      </c>
      <c r="F117" t="inlineStr">
        <is>
          <t>VÄSTRA GÖTALANDS LÄN</t>
        </is>
      </c>
      <c r="G117" t="inlineStr">
        <is>
          <t>HJO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12165-2026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46219</v>
      </c>
      <c r="F118" t="inlineStr">
        <is>
          <t>VÄSTRA GÖTALANDS LÄN</t>
        </is>
      </c>
      <c r="G118" t="inlineStr">
        <is>
          <t>HJO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55119-2023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46219</v>
      </c>
      <c r="F119" t="inlineStr">
        <is>
          <t>VÄSTRA GÖTALANDS LÄN</t>
        </is>
      </c>
      <c r="G119" t="inlineStr">
        <is>
          <t>HJO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24388-2025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45797</v>
      </c>
      <c r="E120" s="1" t="n">
        <v>46219</v>
      </c>
      <c r="F120" t="inlineStr">
        <is>
          <t>VÄSTRA GÖTALANDS LÄN</t>
        </is>
      </c>
      <c r="G120" t="inlineStr">
        <is>
          <t>HJO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58597-2022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46219</v>
      </c>
      <c r="F121" t="inlineStr">
        <is>
          <t>VÄSTRA GÖTALANDS LÄN</t>
        </is>
      </c>
      <c r="G121" t="inlineStr">
        <is>
          <t>HJO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15019-2026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46104</v>
      </c>
      <c r="E122" s="1" t="n">
        <v>46219</v>
      </c>
      <c r="F122" t="inlineStr">
        <is>
          <t>VÄSTRA GÖTALANDS LÄN</t>
        </is>
      </c>
      <c r="G122" t="inlineStr">
        <is>
          <t>HJO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20024-2022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44697</v>
      </c>
      <c r="E123" s="1" t="n">
        <v>46219</v>
      </c>
      <c r="F123" t="inlineStr">
        <is>
          <t>VÄSTRA GÖTALANDS LÄN</t>
        </is>
      </c>
      <c r="G123" t="inlineStr">
        <is>
          <t>HJO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26229-2025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46219</v>
      </c>
      <c r="F124" t="inlineStr">
        <is>
          <t>VÄSTRA GÖTALANDS LÄN</t>
        </is>
      </c>
      <c r="G124" t="inlineStr">
        <is>
          <t>HJO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46219</v>
      </c>
      <c r="F125" t="inlineStr">
        <is>
          <t>VÄSTRA GÖTALANDS LÄN</t>
        </is>
      </c>
      <c r="G125" t="inlineStr">
        <is>
          <t>HJO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45685</v>
      </c>
      <c r="E126" s="1" t="n">
        <v>46219</v>
      </c>
      <c r="F126" t="inlineStr">
        <is>
          <t>VÄSTRA GÖTALANDS LÄN</t>
        </is>
      </c>
      <c r="G126" t="inlineStr">
        <is>
          <t>HJO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46219</v>
      </c>
      <c r="F127" t="inlineStr">
        <is>
          <t>VÄSTRA GÖTALANDS LÄN</t>
        </is>
      </c>
      <c r="G127" t="inlineStr">
        <is>
          <t>HJO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27989-2022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44745</v>
      </c>
      <c r="E128" s="1" t="n">
        <v>46219</v>
      </c>
      <c r="F128" t="inlineStr">
        <is>
          <t>VÄSTRA GÖTALANDS LÄN</t>
        </is>
      </c>
      <c r="G128" t="inlineStr">
        <is>
          <t>HJO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63239-2021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46219</v>
      </c>
      <c r="F129" t="inlineStr">
        <is>
          <t>VÄSTRA GÖTALANDS LÄN</t>
        </is>
      </c>
      <c r="G129" t="inlineStr">
        <is>
          <t>HJO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46219</v>
      </c>
      <c r="F130" t="inlineStr">
        <is>
          <t>VÄSTRA GÖTALANDS LÄN</t>
        </is>
      </c>
      <c r="G130" t="inlineStr">
        <is>
          <t>HJO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61700-2023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46219</v>
      </c>
      <c r="F131" t="inlineStr">
        <is>
          <t>VÄSTRA GÖTALANDS LÄN</t>
        </is>
      </c>
      <c r="G131" t="inlineStr">
        <is>
          <t>HJO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44963</v>
      </c>
      <c r="E132" s="1" t="n">
        <v>46219</v>
      </c>
      <c r="F132" t="inlineStr">
        <is>
          <t>VÄSTRA GÖTALANDS LÄN</t>
        </is>
      </c>
      <c r="G132" t="inlineStr">
        <is>
          <t>HJO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46219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14460-2023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45010</v>
      </c>
      <c r="E134" s="1" t="n">
        <v>46219</v>
      </c>
      <c r="F134" t="inlineStr">
        <is>
          <t>VÄSTRA GÖTALANDS LÄN</t>
        </is>
      </c>
      <c r="G134" t="inlineStr">
        <is>
          <t>HJO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59452-2023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46219</v>
      </c>
      <c r="F135" t="inlineStr">
        <is>
          <t>VÄSTRA GÖTALANDS LÄN</t>
        </is>
      </c>
      <c r="G135" t="inlineStr">
        <is>
          <t>HJO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9297-2022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46219</v>
      </c>
      <c r="F136" t="inlineStr">
        <is>
          <t>VÄSTRA GÖTALANDS LÄN</t>
        </is>
      </c>
      <c r="G136" t="inlineStr">
        <is>
          <t>HJO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70743-2021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46219</v>
      </c>
      <c r="F137" t="inlineStr">
        <is>
          <t>VÄSTRA GÖTALANDS LÄN</t>
        </is>
      </c>
      <c r="G137" t="inlineStr">
        <is>
          <t>HJO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55003-2024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46219</v>
      </c>
      <c r="F138" t="inlineStr">
        <is>
          <t>VÄSTRA GÖTALANDS LÄN</t>
        </is>
      </c>
      <c r="G138" t="inlineStr">
        <is>
          <t>HJO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30970-2023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46219</v>
      </c>
      <c r="F139" t="inlineStr">
        <is>
          <t>VÄSTRA GÖTALANDS LÄN</t>
        </is>
      </c>
      <c r="G139" t="inlineStr">
        <is>
          <t>HJO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43370-2025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46219</v>
      </c>
      <c r="F140" t="inlineStr">
        <is>
          <t>VÄSTRA GÖTALANDS LÄN</t>
        </is>
      </c>
      <c r="G140" t="inlineStr">
        <is>
          <t>HJO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59986-2023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46219</v>
      </c>
      <c r="F141" t="inlineStr">
        <is>
          <t>VÄSTRA GÖTALANDS LÄN</t>
        </is>
      </c>
      <c r="G141" t="inlineStr">
        <is>
          <t>HJO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8814-2022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46219</v>
      </c>
      <c r="F142" t="inlineStr">
        <is>
          <t>VÄSTRA GÖTALANDS LÄN</t>
        </is>
      </c>
      <c r="G142" t="inlineStr">
        <is>
          <t>HJO</t>
        </is>
      </c>
      <c r="H142" t="inlineStr">
        <is>
          <t>Kyrkan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25053-2025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46219</v>
      </c>
      <c r="F143" t="inlineStr">
        <is>
          <t>VÄSTRA GÖTALANDS LÄN</t>
        </is>
      </c>
      <c r="G143" t="inlineStr">
        <is>
          <t>HJO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14196-2023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45009</v>
      </c>
      <c r="E144" s="1" t="n">
        <v>46219</v>
      </c>
      <c r="F144" t="inlineStr">
        <is>
          <t>VÄSTRA GÖTALANDS LÄN</t>
        </is>
      </c>
      <c r="G144" t="inlineStr">
        <is>
          <t>HJO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46219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39538-2023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45167</v>
      </c>
      <c r="E146" s="1" t="n">
        <v>46219</v>
      </c>
      <c r="F146" t="inlineStr">
        <is>
          <t>VÄSTRA GÖTALANDS LÄN</t>
        </is>
      </c>
      <c r="G146" t="inlineStr">
        <is>
          <t>HJO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46219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46219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46219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38052-2025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46219</v>
      </c>
      <c r="F150" t="inlineStr">
        <is>
          <t>VÄSTRA GÖTALANDS LÄN</t>
        </is>
      </c>
      <c r="G150" t="inlineStr">
        <is>
          <t>HJO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S 967-2022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44607</v>
      </c>
      <c r="E151" s="1" t="n">
        <v>46219</v>
      </c>
      <c r="F151" t="inlineStr">
        <is>
          <t>VÄSTRA GÖTALANDS LÄN</t>
        </is>
      </c>
      <c r="G151" t="inlineStr">
        <is>
          <t>HJO</t>
        </is>
      </c>
      <c r="H151" t="inlineStr">
        <is>
          <t>Sveaskog</t>
        </is>
      </c>
      <c r="I151" t="n">
        <v>151.6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>
      <c r="A152" t="inlineStr">
        <is>
          <t>S 3584-2022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44735</v>
      </c>
      <c r="E152" s="1" t="n">
        <v>46219</v>
      </c>
      <c r="F152" t="inlineStr">
        <is>
          <t>VÄSTRA GÖTALANDS LÄN</t>
        </is>
      </c>
      <c r="G152" t="inlineStr">
        <is>
          <t>HJO</t>
        </is>
      </c>
      <c r="I152" t="n">
        <v>28.7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2026-07-16T01:27:01Z</dcterms:created>
  <dcterms:modified xmlns:dcterms="http://purl.org/dc/terms/" xmlns:xsi="http://www.w3.org/2001/XMLSchema-instance" xsi:type="dcterms:W3CDTF">2026-07-16T01:27:01Z</dcterms:modified>
</cp:coreProperties>
</file>